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ckettcorp.sharepoint.com/sites/ProjectDocs/WIP/"/>
    </mc:Choice>
  </mc:AlternateContent>
  <xr:revisionPtr revIDLastSave="1352" documentId="8_{002B15BA-D42A-48FD-82ED-C5CFC5FE9C4D}" xr6:coauthVersionLast="47" xr6:coauthVersionMax="47" xr10:uidLastSave="{BA59C2F2-1C97-4DDC-AAC2-CFC3ED0D3D06}"/>
  <bookViews>
    <workbookView xWindow="21480" yWindow="-2325" windowWidth="25440" windowHeight="15270" tabRatio="897" firstSheet="16" activeTab="23" xr2:uid="{1EA4B1DC-A2E3-4139-BFC9-4DBA8564A591}"/>
  </bookViews>
  <sheets>
    <sheet name="FinalChart" sheetId="28" r:id="rId1"/>
    <sheet name="DraftChart" sheetId="5" r:id="rId2"/>
    <sheet name="Power Loss-Flash Writes" sheetId="9" r:id="rId3"/>
    <sheet name="Read WhoAmI" sheetId="18" r:id="rId4"/>
    <sheet name="I2C interrupt" sheetId="22" r:id="rId5"/>
    <sheet name="I2C overall Duty Cycle" sheetId="31" r:id="rId6"/>
    <sheet name="Write Configuration" sheetId="30" r:id="rId7"/>
    <sheet name="Power loss stanby" sheetId="27" r:id="rId8"/>
    <sheet name="TIM17 Interrupt" sheetId="23" r:id="rId9"/>
    <sheet name="TIM1 Interrupt" sheetId="25" r:id="rId10"/>
    <sheet name="Systick Interrupt" sheetId="26" r:id="rId11"/>
    <sheet name="ADC Calibration" sheetId="17" r:id="rId12"/>
    <sheet name="ADC1, Whole Interrupt" sheetId="13" r:id="rId13"/>
    <sheet name="feild config write form IoT" sheetId="2" r:id="rId14"/>
    <sheet name="flash page erasure" sheetId="3" r:id="rId15"/>
    <sheet name="FlashCheck" sheetId="8" r:id="rId16"/>
    <sheet name="USART2 Interrupt" sheetId="11" r:id="rId17"/>
    <sheet name="Bootloader WDT Init to Bootload" sheetId="10" r:id="rId18"/>
    <sheet name="Time in Reset" sheetId="12" r:id="rId19"/>
    <sheet name="Safety Relay &amp; Motor Timings" sheetId="16" r:id="rId20"/>
    <sheet name="Bootloader Main Loop" sheetId="14" r:id="rId21"/>
    <sheet name="MotorChangeCap" sheetId="20" r:id="rId22"/>
    <sheet name="PowerOnToStandby" sheetId="21" r:id="rId23"/>
    <sheet name="TIM16 Interrupt" sheetId="24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1" l="1"/>
  <c r="B13" i="31" s="1"/>
  <c r="B12" i="31"/>
  <c r="B26" i="13"/>
  <c r="B23" i="13"/>
  <c r="B22" i="13"/>
  <c r="B13" i="11"/>
  <c r="B30" i="13" l="1"/>
  <c r="B32" i="13" s="1"/>
  <c r="B2" i="11" l="1"/>
  <c r="B3" i="11" s="1"/>
  <c r="B8" i="11"/>
  <c r="B2" i="13"/>
  <c r="B15" i="11" l="1"/>
  <c r="B6" i="13" l="1"/>
  <c r="B3" i="13"/>
  <c r="B10" i="13" s="1"/>
  <c r="B16" i="30"/>
  <c r="B15" i="30"/>
  <c r="B14" i="30"/>
  <c r="B13" i="30"/>
  <c r="H14" i="16"/>
  <c r="H15" i="16"/>
  <c r="H16" i="16"/>
  <c r="H17" i="16"/>
  <c r="B20" i="14"/>
  <c r="B16" i="27"/>
  <c r="B15" i="27"/>
  <c r="B14" i="27"/>
  <c r="B13" i="27"/>
  <c r="B8" i="26"/>
  <c r="B4" i="26"/>
  <c r="B5" i="26" s="1"/>
  <c r="B12" i="13" l="1"/>
  <c r="B10" i="26"/>
  <c r="G34" i="9" l="1"/>
  <c r="F32" i="9"/>
  <c r="F36" i="9"/>
  <c r="F40" i="9"/>
  <c r="B37" i="9"/>
  <c r="B10" i="25"/>
  <c r="B5" i="25"/>
  <c r="B4" i="25"/>
  <c r="B8" i="25"/>
  <c r="B8" i="24"/>
  <c r="B4" i="24"/>
  <c r="B5" i="24" s="1"/>
  <c r="B4" i="23"/>
  <c r="B6" i="23" s="1"/>
  <c r="F4" i="23"/>
  <c r="F6" i="23" s="1"/>
  <c r="B10" i="23"/>
  <c r="F10" i="23"/>
  <c r="K24" i="22"/>
  <c r="M24" i="22" s="1"/>
  <c r="K23" i="22"/>
  <c r="M23" i="22" s="1"/>
  <c r="K22" i="22"/>
  <c r="M22" i="22" s="1"/>
  <c r="K21" i="22"/>
  <c r="M21" i="22" s="1"/>
  <c r="K20" i="22"/>
  <c r="M20" i="22" s="1"/>
  <c r="K19" i="22"/>
  <c r="M19" i="22" s="1"/>
  <c r="K18" i="22"/>
  <c r="M18" i="22" s="1"/>
  <c r="K17" i="22"/>
  <c r="M17" i="22" s="1"/>
  <c r="K16" i="22"/>
  <c r="M16" i="22" s="1"/>
  <c r="K15" i="22"/>
  <c r="M15" i="22" s="1"/>
  <c r="K14" i="22"/>
  <c r="M14" i="22" s="1"/>
  <c r="K13" i="22"/>
  <c r="M13" i="22" s="1"/>
  <c r="K12" i="22"/>
  <c r="M12" i="22" s="1"/>
  <c r="K11" i="22"/>
  <c r="M11" i="22" s="1"/>
  <c r="K10" i="22"/>
  <c r="M10" i="22" s="1"/>
  <c r="K9" i="22"/>
  <c r="M9" i="22" s="1"/>
  <c r="K8" i="22"/>
  <c r="M8" i="22" s="1"/>
  <c r="K7" i="22"/>
  <c r="M7" i="22" s="1"/>
  <c r="K6" i="22"/>
  <c r="M6" i="22" s="1"/>
  <c r="K5" i="22"/>
  <c r="M5" i="22" s="1"/>
  <c r="F6" i="22"/>
  <c r="F7" i="22"/>
  <c r="F8" i="22"/>
  <c r="F9" i="22"/>
  <c r="F10" i="22"/>
  <c r="F11" i="22"/>
  <c r="F17" i="22"/>
  <c r="F19" i="22"/>
  <c r="F21" i="22"/>
  <c r="F22" i="22"/>
  <c r="F23" i="22"/>
  <c r="F24" i="22"/>
  <c r="F5" i="22"/>
  <c r="D7" i="22"/>
  <c r="D8" i="22"/>
  <c r="D9" i="22"/>
  <c r="D10" i="22"/>
  <c r="D11" i="22"/>
  <c r="D12" i="22"/>
  <c r="F12" i="22" s="1"/>
  <c r="D13" i="22"/>
  <c r="F13" i="22" s="1"/>
  <c r="D14" i="22"/>
  <c r="F14" i="22" s="1"/>
  <c r="D15" i="22"/>
  <c r="F15" i="22" s="1"/>
  <c r="D16" i="22"/>
  <c r="F16" i="22" s="1"/>
  <c r="D17" i="22"/>
  <c r="D18" i="22"/>
  <c r="F18" i="22" s="1"/>
  <c r="D19" i="22"/>
  <c r="D20" i="22"/>
  <c r="F20" i="22" s="1"/>
  <c r="D21" i="22"/>
  <c r="D22" i="22"/>
  <c r="D23" i="22"/>
  <c r="D24" i="22"/>
  <c r="D6" i="22"/>
  <c r="D5" i="22"/>
  <c r="B17" i="21"/>
  <c r="B16" i="21"/>
  <c r="B15" i="21"/>
  <c r="B14" i="21"/>
  <c r="B39" i="20"/>
  <c r="B38" i="20"/>
  <c r="B37" i="20"/>
  <c r="B36" i="20"/>
  <c r="B16" i="18"/>
  <c r="B15" i="18"/>
  <c r="B14" i="18"/>
  <c r="B13" i="18"/>
  <c r="B18" i="17"/>
  <c r="B17" i="17"/>
  <c r="B16" i="17"/>
  <c r="B15" i="17"/>
  <c r="B17" i="3"/>
  <c r="B16" i="3"/>
  <c r="B15" i="3"/>
  <c r="B14" i="3"/>
  <c r="B17" i="16"/>
  <c r="B16" i="16"/>
  <c r="B15" i="16"/>
  <c r="B14" i="16"/>
  <c r="B16" i="2"/>
  <c r="B15" i="2"/>
  <c r="B14" i="2"/>
  <c r="B13" i="2"/>
  <c r="E9" i="9"/>
  <c r="G9" i="9"/>
  <c r="E8" i="9"/>
  <c r="B23" i="14"/>
  <c r="B22" i="14"/>
  <c r="B21" i="14"/>
  <c r="M14" i="13"/>
  <c r="M11" i="13"/>
  <c r="M12" i="13" s="1"/>
  <c r="M8" i="13"/>
  <c r="M9" i="13" s="1"/>
  <c r="M16" i="13" s="1"/>
  <c r="G28" i="22" l="1"/>
  <c r="N28" i="22"/>
  <c r="M18" i="13"/>
  <c r="B10" i="24"/>
  <c r="F7" i="23"/>
  <c r="F12" i="23"/>
  <c r="B7" i="23"/>
  <c r="B12" i="23"/>
  <c r="B14" i="12" l="1"/>
  <c r="B16" i="12"/>
  <c r="B15" i="12"/>
  <c r="B13" i="12"/>
  <c r="B16" i="10"/>
  <c r="B15" i="10"/>
  <c r="B14" i="10"/>
  <c r="B13" i="10"/>
  <c r="E38" i="9"/>
  <c r="D40" i="9"/>
  <c r="C40" i="9"/>
  <c r="B40" i="9"/>
  <c r="D39" i="9"/>
  <c r="C39" i="9"/>
  <c r="B39" i="9"/>
  <c r="D38" i="9"/>
  <c r="C38" i="9"/>
  <c r="B38" i="9"/>
  <c r="D37" i="9"/>
  <c r="C37" i="9"/>
  <c r="G36" i="9"/>
  <c r="E36" i="9"/>
  <c r="G35" i="9"/>
  <c r="F35" i="9"/>
  <c r="E35" i="9"/>
  <c r="F34" i="9"/>
  <c r="E34" i="9"/>
  <c r="G33" i="9"/>
  <c r="F33" i="9"/>
  <c r="E33" i="9"/>
  <c r="G32" i="9"/>
  <c r="E32" i="9"/>
  <c r="G31" i="9"/>
  <c r="F31" i="9"/>
  <c r="E31" i="9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G18" i="9"/>
  <c r="F18" i="9"/>
  <c r="E18" i="9"/>
  <c r="G17" i="9"/>
  <c r="F17" i="9"/>
  <c r="E17" i="9"/>
  <c r="G16" i="9"/>
  <c r="F16" i="9"/>
  <c r="E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F9" i="9"/>
  <c r="G8" i="9"/>
  <c r="F8" i="9"/>
  <c r="G7" i="9"/>
  <c r="F7" i="9"/>
  <c r="E7" i="9"/>
  <c r="G6" i="9"/>
  <c r="F6" i="9"/>
  <c r="E6" i="9"/>
  <c r="G5" i="9"/>
  <c r="F5" i="9"/>
  <c r="E5" i="9"/>
  <c r="B16" i="8"/>
  <c r="B15" i="8"/>
  <c r="B14" i="8"/>
  <c r="B13" i="8"/>
  <c r="F39" i="9" l="1"/>
  <c r="G40" i="9"/>
  <c r="F37" i="9"/>
  <c r="G39" i="9"/>
  <c r="F38" i="9"/>
  <c r="E39" i="9"/>
  <c r="E37" i="9"/>
  <c r="E40" i="9"/>
  <c r="G38" i="9"/>
  <c r="G37" i="9"/>
</calcChain>
</file>

<file path=xl/sharedStrings.xml><?xml version="1.0" encoding="utf-8"?>
<sst xmlns="http://schemas.openxmlformats.org/spreadsheetml/2006/main" count="745" uniqueCount="261">
  <si>
    <t>Index</t>
  </si>
  <si>
    <t>Description</t>
  </si>
  <si>
    <t>GitLab Pipeline IID</t>
  </si>
  <si>
    <t>Commit</t>
  </si>
  <si>
    <t>Mean</t>
  </si>
  <si>
    <t>Power Loss to Loss Detection</t>
  </si>
  <si>
    <t>Standby</t>
  </si>
  <si>
    <t>Run</t>
  </si>
  <si>
    <t>Power Loss to Cycle Abort</t>
  </si>
  <si>
    <t>Power Loss to Completion of Flash Writes</t>
  </si>
  <si>
    <t>Cycle Abort to Completion of Flash Writes</t>
  </si>
  <si>
    <t>Main Loop</t>
  </si>
  <si>
    <t>CRC-32 Full Check</t>
  </si>
  <si>
    <t>Flash Check</t>
  </si>
  <si>
    <t>Cylon</t>
  </si>
  <si>
    <t>Power-On to Entering Standby</t>
  </si>
  <si>
    <t>Time in Reset</t>
  </si>
  <si>
    <t>4714ef2f</t>
  </si>
  <si>
    <t>Field Configuration Read</t>
  </si>
  <si>
    <t>bbd89349</t>
  </si>
  <si>
    <t>µs</t>
  </si>
  <si>
    <t>Bootloader Main Loop</t>
  </si>
  <si>
    <t>ff8354a1</t>
  </si>
  <si>
    <t>TIM17 Interrupt Disabling — HandleLinePower()</t>
  </si>
  <si>
    <t>MotorChargeCap()</t>
  </si>
  <si>
    <t>d440bec8</t>
  </si>
  <si>
    <t>Flash Page Erasure</t>
  </si>
  <si>
    <t>f160a7ce</t>
  </si>
  <si>
    <t>Blue</t>
  </si>
  <si>
    <t>Bootloader Firmware Flash Erasure</t>
  </si>
  <si>
    <t>Bootloader OTA Block Writing</t>
  </si>
  <si>
    <t>Unit</t>
  </si>
  <si>
    <t>Duration</t>
  </si>
  <si>
    <t>Min.</t>
  </si>
  <si>
    <t>Max.</t>
  </si>
  <si>
    <t>(Mean) Freq. (Hz)</t>
  </si>
  <si>
    <t>Period</t>
  </si>
  <si>
    <t>% Processor Time</t>
  </si>
  <si>
    <t>Std. Dev.</t>
  </si>
  <si>
    <t>Powr Loss, Flash Writes, Holdup Time</t>
  </si>
  <si>
    <t>#5409</t>
  </si>
  <si>
    <t>213f9124</t>
  </si>
  <si>
    <t>ms</t>
  </si>
  <si>
    <t xml:space="preserve"> </t>
  </si>
  <si>
    <t>Power Loss Detection to Completion of Flash Write</t>
  </si>
  <si>
    <t>#5377</t>
  </si>
  <si>
    <t>e7c2296d</t>
  </si>
  <si>
    <t>Maintain Safety</t>
  </si>
  <si>
    <t>#5348</t>
  </si>
  <si>
    <t>0161deb4d</t>
  </si>
  <si>
    <t>μs</t>
  </si>
  <si>
    <t>#5349</t>
  </si>
  <si>
    <t>d9001acdb</t>
  </si>
  <si>
    <t>#5350</t>
  </si>
  <si>
    <t>1b2bd8269</t>
  </si>
  <si>
    <t>Interrupts</t>
  </si>
  <si>
    <t>SysTick Interrupt</t>
  </si>
  <si>
    <t>#5352</t>
  </si>
  <si>
    <t>31366111c</t>
  </si>
  <si>
    <t>&lt;0.001</t>
  </si>
  <si>
    <t>ADC1, Single Sample</t>
  </si>
  <si>
    <t>#5353</t>
  </si>
  <si>
    <t>8f30adb3</t>
  </si>
  <si>
    <t>ADC1, First Sample to Sampling Done</t>
  </si>
  <si>
    <t>f8e70d9c</t>
  </si>
  <si>
    <t>ADC1, Scan Done</t>
  </si>
  <si>
    <t>#5355</t>
  </si>
  <si>
    <t>c051ee0c</t>
  </si>
  <si>
    <t>ADC1, Whole Interrupt</t>
  </si>
  <si>
    <t>#5356</t>
  </si>
  <si>
    <t>b6c6dd7f</t>
  </si>
  <si>
    <t>TIM17 Interrupt</t>
  </si>
  <si>
    <t>#5357</t>
  </si>
  <si>
    <t>4107e792</t>
  </si>
  <si>
    <t>TIM16 Interrupt</t>
  </si>
  <si>
    <t>#5358</t>
  </si>
  <si>
    <t>2ddbf648</t>
  </si>
  <si>
    <t>USART2 Interrupt</t>
  </si>
  <si>
    <t>#5360</t>
  </si>
  <si>
    <t>1e0ea204</t>
  </si>
  <si>
    <t>TIM1 Interrupt</t>
  </si>
  <si>
    <t>#5361</t>
  </si>
  <si>
    <t>73b495a4</t>
  </si>
  <si>
    <t>Startup</t>
  </si>
  <si>
    <t>#5362</t>
  </si>
  <si>
    <t>293944e5</t>
  </si>
  <si>
    <t>Firmware Start to First Firmware WDT Reset</t>
  </si>
  <si>
    <t>#5363</t>
  </si>
  <si>
    <t>92c2a38d</t>
  </si>
  <si>
    <t>Bootloader WDT Init to Bootloader End</t>
  </si>
  <si>
    <t>#5378</t>
  </si>
  <si>
    <t>0143d3bb</t>
  </si>
  <si>
    <t>#5365</t>
  </si>
  <si>
    <t>aa0d773d</t>
  </si>
  <si>
    <t>#5367</t>
  </si>
  <si>
    <t>4afb9eef</t>
  </si>
  <si>
    <t>s</t>
  </si>
  <si>
    <t>#5366</t>
  </si>
  <si>
    <t>e868321c</t>
  </si>
  <si>
    <t>Communication</t>
  </si>
  <si>
    <t>Field Configuration Write</t>
  </si>
  <si>
    <t>#5308</t>
  </si>
  <si>
    <t>files</t>
  </si>
  <si>
    <t>#5368</t>
  </si>
  <si>
    <t>afb6907bd</t>
  </si>
  <si>
    <t>Modbus_Timing.py</t>
  </si>
  <si>
    <t>Maximum Modbus Timing (Gather Report Data)</t>
  </si>
  <si>
    <t>#5382</t>
  </si>
  <si>
    <t>Modbus_Timing_Output.txt</t>
  </si>
  <si>
    <t>Bootloader</t>
  </si>
  <si>
    <t>96fa2659</t>
  </si>
  <si>
    <t>Interrupts Disabled</t>
  </si>
  <si>
    <t>TIM17 Interrupt Disabling — HandleAC_Inputs()</t>
  </si>
  <si>
    <t>#5383</t>
  </si>
  <si>
    <t>Outside</t>
  </si>
  <si>
    <t>Inside</t>
  </si>
  <si>
    <t>Flame Sensing State - Timings</t>
  </si>
  <si>
    <t>#5371</t>
  </si>
  <si>
    <t>2aabe9ea</t>
  </si>
  <si>
    <t>Flame Inactive</t>
  </si>
  <si>
    <t>Discharching</t>
  </si>
  <si>
    <t>Sensing</t>
  </si>
  <si>
    <t>FlameOn</t>
  </si>
  <si>
    <t>#5372</t>
  </si>
  <si>
    <t>a7bd9325</t>
  </si>
  <si>
    <t>Motor Control</t>
  </si>
  <si>
    <t>#5373</t>
  </si>
  <si>
    <t>113bfae4</t>
  </si>
  <si>
    <t>Safety Relay On to Motor Relay On</t>
  </si>
  <si>
    <t>#5375</t>
  </si>
  <si>
    <t>Motor On</t>
  </si>
  <si>
    <t>Motor Off</t>
  </si>
  <si>
    <t>Flash Erasing</t>
  </si>
  <si>
    <t>#5381</t>
  </si>
  <si>
    <t>#5376</t>
  </si>
  <si>
    <t>ef9612e0</t>
  </si>
  <si>
    <t>New Tests</t>
  </si>
  <si>
    <t>ADC Startup Calibration</t>
  </si>
  <si>
    <t>#5411</t>
  </si>
  <si>
    <t>5aae013d</t>
  </si>
  <si>
    <t>Accel_Read_WhoAmI</t>
  </si>
  <si>
    <t>#5394</t>
  </si>
  <si>
    <t>adfc597b</t>
  </si>
  <si>
    <t>&lt;0.0001</t>
  </si>
  <si>
    <t>Accel_Write_Configuration</t>
  </si>
  <si>
    <t>#5395</t>
  </si>
  <si>
    <t>c51512ce</t>
  </si>
  <si>
    <t>Accel_Read_Num_Unread</t>
  </si>
  <si>
    <t>#5396</t>
  </si>
  <si>
    <t>83fa41b5</t>
  </si>
  <si>
    <t>Accel_Read_Samples</t>
  </si>
  <si>
    <t>#5397</t>
  </si>
  <si>
    <t>e0c5aa12</t>
  </si>
  <si>
    <t>I2C Interrupt</t>
  </si>
  <si>
    <t>overall duty Cucle</t>
  </si>
  <si>
    <t>#5404</t>
  </si>
  <si>
    <t>d70c46ad</t>
  </si>
  <si>
    <t>interrupt inside Accel_Read_Samples</t>
  </si>
  <si>
    <t>#5413</t>
  </si>
  <si>
    <t>af91df04</t>
  </si>
  <si>
    <t>interrupt inside Accel_Read_Num_Unread</t>
  </si>
  <si>
    <t>#5412</t>
  </si>
  <si>
    <t>834a8576</t>
  </si>
  <si>
    <t>Power Loss to Loss Detection (Standby)</t>
  </si>
  <si>
    <t>Measured Time (ms)</t>
  </si>
  <si>
    <t>Mean:</t>
  </si>
  <si>
    <t>Std. Dev.:</t>
  </si>
  <si>
    <t>Min.:</t>
  </si>
  <si>
    <t>Max.:</t>
  </si>
  <si>
    <t>Power Loss to Flash Write (Run) (7595)</t>
  </si>
  <si>
    <t>w milli</t>
  </si>
  <si>
    <t>a milli</t>
  </si>
  <si>
    <t>b milli</t>
  </si>
  <si>
    <t>w mirco</t>
  </si>
  <si>
    <t>b mirco</t>
  </si>
  <si>
    <t>a</t>
  </si>
  <si>
    <t>w</t>
  </si>
  <si>
    <t>b</t>
  </si>
  <si>
    <t>Measured (ms)</t>
  </si>
  <si>
    <t>Computed (ms)</t>
  </si>
  <si>
    <t>Power Loss Detection to Cycle Abort</t>
  </si>
  <si>
    <t>Cycle Abort to Flash Write End</t>
  </si>
  <si>
    <t>Power Loss to Flash Write End</t>
  </si>
  <si>
    <t>Power Loss Detection to Flash Write End</t>
  </si>
  <si>
    <t>Mean Freq.:</t>
  </si>
  <si>
    <t>Hz</t>
  </si>
  <si>
    <t>Period:</t>
  </si>
  <si>
    <t>Mean Duration:</t>
  </si>
  <si>
    <t>Duty Cycle:</t>
  </si>
  <si>
    <t>READ_WHOAMI</t>
  </si>
  <si>
    <t>Write_configuration</t>
  </si>
  <si>
    <t>10 Results</t>
  </si>
  <si>
    <t>Burst-to-burst Period:</t>
  </si>
  <si>
    <t>Period(ms)</t>
  </si>
  <si>
    <t>High(V)</t>
  </si>
  <si>
    <t>Mean Burst Area:</t>
  </si>
  <si>
    <t>V⋅s</t>
  </si>
  <si>
    <t>Mean High:</t>
  </si>
  <si>
    <t>V</t>
  </si>
  <si>
    <t>Total Area:</t>
  </si>
  <si>
    <t>I2C as percent of Read_Sampels</t>
  </si>
  <si>
    <t>I2C as percent of Read_Num_Unread</t>
  </si>
  <si>
    <t>overal duty cycle</t>
  </si>
  <si>
    <t>20 results</t>
  </si>
  <si>
    <t>%duty cycle</t>
  </si>
  <si>
    <t>Area State (mVs)</t>
  </si>
  <si>
    <t>Area interrupt (µVs)</t>
  </si>
  <si>
    <t>Area interrupt (mVs)</t>
  </si>
  <si>
    <t>inside/outside</t>
  </si>
  <si>
    <t>Area state (mVs)</t>
  </si>
  <si>
    <t>v</t>
  </si>
  <si>
    <t>total Area:</t>
  </si>
  <si>
    <t>duty Cycle</t>
  </si>
  <si>
    <t>avg duty Cycle:</t>
  </si>
  <si>
    <t>Measured Time (micro s)</t>
  </si>
  <si>
    <t>Measured Time (μs)</t>
  </si>
  <si>
    <t>Flash Page Erase</t>
  </si>
  <si>
    <t>Min:</t>
  </si>
  <si>
    <t>Max:</t>
  </si>
  <si>
    <t>Safety Relay ON, Motor Relay ON-High</t>
  </si>
  <si>
    <t>Meam:</t>
  </si>
  <si>
    <t>Safety Relay OFF, Motor Relay OFF-High</t>
  </si>
  <si>
    <t>Time(µs)</t>
  </si>
  <si>
    <t>Area(µVs)</t>
  </si>
  <si>
    <t>Mean Area:</t>
  </si>
  <si>
    <t>μV⋅s</t>
  </si>
  <si>
    <t>Mean  High:</t>
  </si>
  <si>
    <t>Measured Time (µs)</t>
  </si>
  <si>
    <t>MotorChangeCap</t>
  </si>
  <si>
    <t>Power-On to Standby</t>
  </si>
  <si>
    <t>Measured Time (s)</t>
  </si>
  <si>
    <t>max:</t>
  </si>
  <si>
    <t>kHz</t>
  </si>
  <si>
    <t>ChageFeildConfig.py</t>
  </si>
  <si>
    <t>Move to end of Startup section</t>
  </si>
  <si>
    <t>Move to end of Communication section</t>
  </si>
  <si>
    <t>Move to end of Interrupts section</t>
  </si>
  <si>
    <t>Serial Comms (Get Advert. Data)</t>
  </si>
  <si>
    <t>I2C Overall Duty Cycle</t>
  </si>
  <si>
    <t>I2C in Accel_Read_Samples</t>
  </si>
  <si>
    <t>I2C in Accel_Read_Num_Unread</t>
  </si>
  <si>
    <t>Accel Read Samples</t>
  </si>
  <si>
    <t>Accel Read Num Unread</t>
  </si>
  <si>
    <t>Accel Write Configuration</t>
  </si>
  <si>
    <t>Accel Read WhoAmI</t>
  </si>
  <si>
    <t>ADC Calibration</t>
  </si>
  <si>
    <t>Std. Dev</t>
  </si>
  <si>
    <t>ADC  Calibration</t>
  </si>
  <si>
    <t>Systick Interrupt</t>
  </si>
  <si>
    <t>Safety Relay &amp; Motor timings</t>
  </si>
  <si>
    <t>Safety Relay Off to Motor Relay Off</t>
  </si>
  <si>
    <t>#of pusles</t>
  </si>
  <si>
    <t>Total interrupt area</t>
  </si>
  <si>
    <t>old</t>
  </si>
  <si>
    <t>avg period(blue):</t>
  </si>
  <si>
    <t>high(blue):</t>
  </si>
  <si>
    <t>avg area(yellow):</t>
  </si>
  <si>
    <t>μVs</t>
  </si>
  <si>
    <t>mVs</t>
  </si>
  <si>
    <t xml:space="preserve">Accelorometer </t>
  </si>
  <si>
    <t>I2C overall Duty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</si>
</sst>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0"/>
    <numFmt numFmtId="166" formatCode="0.0000"/>
    <numFmt numFmtId="167" formatCode="0.0"/>
    <numFmt numFmtId="168" formatCode="0.000%"/>
    <numFmt numFmtId="169" formatCode="0.000000%"/>
    <numFmt numFmtId="170" formatCode="0.00000%"/>
  </numFmts>
  <fonts count="1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name val="Aptos Narrow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sz val="10"/>
      <color rgb="FF000000"/>
      <name val="Ffffffffffffff"/>
    </font>
  </fonts>
  <fills count="11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3B3838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/>
      <diagonal/>
    </border>
    <border>
      <left style="medium">
        <color rgb="FFC9C9C9"/>
      </left>
      <right style="medium">
        <color rgb="FFC9C9C9"/>
      </right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 style="medium">
        <color rgb="FFC9C9C9"/>
      </left>
      <right/>
      <top style="medium">
        <color rgb="FFC9C9C9"/>
      </top>
      <bottom style="medium">
        <color rgb="FFC9C9C9"/>
      </bottom>
      <diagonal/>
    </border>
    <border>
      <left/>
      <right/>
      <top style="medium">
        <color rgb="FFC9C9C9"/>
      </top>
      <bottom style="medium">
        <color rgb="FFC9C9C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9C9C9"/>
      </left>
      <right/>
      <top style="thin">
        <color indexed="64"/>
      </top>
      <bottom style="medium">
        <color rgb="FFC9C9C9"/>
      </bottom>
      <diagonal/>
    </border>
    <border>
      <left/>
      <right/>
      <top style="thin">
        <color indexed="64"/>
      </top>
      <bottom style="medium">
        <color rgb="FFC9C9C9"/>
      </bottom>
      <diagonal/>
    </border>
    <border>
      <left/>
      <right style="medium">
        <color rgb="FFC9C9C9"/>
      </right>
      <top/>
      <bottom/>
      <diagonal/>
    </border>
    <border>
      <left/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C9C9C9"/>
      </right>
      <top style="medium">
        <color rgb="FFC9C9C9"/>
      </top>
      <bottom/>
      <diagonal/>
    </border>
    <border>
      <left/>
      <right/>
      <top/>
      <bottom style="medium">
        <color rgb="FFC9C9C9"/>
      </bottom>
      <diagonal/>
    </border>
    <border>
      <left style="medium">
        <color rgb="FFC9C9C9"/>
      </left>
      <right/>
      <top/>
      <bottom style="medium">
        <color rgb="FFC9C9C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3" xfId="0" applyBorder="1"/>
    <xf numFmtId="2" fontId="0" fillId="0" borderId="0" xfId="0" applyNumberFormat="1"/>
    <xf numFmtId="164" fontId="0" fillId="0" borderId="0" xfId="0" applyNumberFormat="1"/>
    <xf numFmtId="2" fontId="0" fillId="0" borderId="3" xfId="0" applyNumberFormat="1" applyBorder="1"/>
    <xf numFmtId="164" fontId="0" fillId="0" borderId="3" xfId="0" applyNumberFormat="1" applyBorder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167" fontId="0" fillId="0" borderId="0" xfId="0" applyNumberFormat="1"/>
    <xf numFmtId="164" fontId="0" fillId="0" borderId="0" xfId="0" applyNumberForma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0" fontId="0" fillId="0" borderId="0" xfId="1" applyNumberFormat="1" applyFont="1"/>
    <xf numFmtId="167" fontId="0" fillId="0" borderId="2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4" borderId="7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7" fillId="4" borderId="7" xfId="0" applyFont="1" applyFill="1" applyBorder="1" applyAlignment="1">
      <alignment horizontal="left" wrapText="1"/>
    </xf>
    <xf numFmtId="0" fontId="7" fillId="5" borderId="7" xfId="0" applyFont="1" applyFill="1" applyBorder="1" applyAlignment="1">
      <alignment horizontal="left" wrapText="1"/>
    </xf>
    <xf numFmtId="0" fontId="2" fillId="6" borderId="7" xfId="0" applyFont="1" applyFill="1" applyBorder="1" applyAlignment="1">
      <alignment horizontal="left" wrapText="1"/>
    </xf>
    <xf numFmtId="0" fontId="6" fillId="4" borderId="8" xfId="0" applyFont="1" applyFill="1" applyBorder="1" applyAlignment="1">
      <alignment horizontal="left" wrapText="1"/>
    </xf>
    <xf numFmtId="0" fontId="2" fillId="5" borderId="7" xfId="0" applyFont="1" applyFill="1" applyBorder="1" applyAlignment="1">
      <alignment horizontal="left" wrapText="1"/>
    </xf>
    <xf numFmtId="11" fontId="2" fillId="4" borderId="7" xfId="0" quotePrefix="1" applyNumberFormat="1" applyFont="1" applyFill="1" applyBorder="1" applyAlignment="1">
      <alignment horizontal="left" wrapText="1"/>
    </xf>
    <xf numFmtId="0" fontId="2" fillId="0" borderId="7" xfId="0" quotePrefix="1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7" fillId="6" borderId="7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11" fontId="2" fillId="0" borderId="7" xfId="0" applyNumberFormat="1" applyFont="1" applyBorder="1" applyAlignment="1">
      <alignment horizontal="left" wrapText="1"/>
    </xf>
    <xf numFmtId="168" fontId="0" fillId="0" borderId="0" xfId="1" applyNumberFormat="1" applyFont="1"/>
    <xf numFmtId="10" fontId="2" fillId="0" borderId="7" xfId="0" applyNumberFormat="1" applyFont="1" applyBorder="1" applyAlignment="1">
      <alignment horizontal="left" wrapText="1"/>
    </xf>
    <xf numFmtId="10" fontId="2" fillId="4" borderId="7" xfId="0" applyNumberFormat="1" applyFont="1" applyFill="1" applyBorder="1" applyAlignment="1">
      <alignment horizontal="left" wrapText="1"/>
    </xf>
    <xf numFmtId="0" fontId="0" fillId="0" borderId="26" xfId="0" applyBorder="1"/>
    <xf numFmtId="0" fontId="0" fillId="0" borderId="2" xfId="0" applyBorder="1"/>
    <xf numFmtId="0" fontId="0" fillId="0" borderId="27" xfId="0" applyBorder="1"/>
    <xf numFmtId="0" fontId="0" fillId="0" borderId="4" xfId="0" applyBorder="1"/>
    <xf numFmtId="168" fontId="2" fillId="0" borderId="7" xfId="0" applyNumberFormat="1" applyFont="1" applyBorder="1" applyAlignment="1">
      <alignment horizontal="left" wrapText="1"/>
    </xf>
    <xf numFmtId="168" fontId="2" fillId="4" borderId="7" xfId="0" applyNumberFormat="1" applyFont="1" applyFill="1" applyBorder="1" applyAlignment="1">
      <alignment horizontal="left" wrapText="1"/>
    </xf>
    <xf numFmtId="0" fontId="4" fillId="0" borderId="3" xfId="0" applyFont="1" applyBorder="1"/>
    <xf numFmtId="169" fontId="0" fillId="0" borderId="0" xfId="1" applyNumberFormat="1" applyFont="1"/>
    <xf numFmtId="170" fontId="0" fillId="0" borderId="0" xfId="1" applyNumberFormat="1" applyFont="1"/>
    <xf numFmtId="0" fontId="7" fillId="0" borderId="7" xfId="0" applyFont="1" applyBorder="1" applyAlignment="1">
      <alignment horizontal="left" wrapText="1"/>
    </xf>
    <xf numFmtId="164" fontId="2" fillId="4" borderId="7" xfId="0" applyNumberFormat="1" applyFont="1" applyFill="1" applyBorder="1" applyAlignment="1">
      <alignment horizontal="left" wrapText="1"/>
    </xf>
    <xf numFmtId="166" fontId="2" fillId="4" borderId="7" xfId="0" applyNumberFormat="1" applyFont="1" applyFill="1" applyBorder="1" applyAlignment="1">
      <alignment horizontal="left" wrapText="1"/>
    </xf>
    <xf numFmtId="166" fontId="2" fillId="0" borderId="7" xfId="0" applyNumberFormat="1" applyFont="1" applyBorder="1" applyAlignment="1">
      <alignment horizontal="left" wrapText="1"/>
    </xf>
    <xf numFmtId="2" fontId="2" fillId="4" borderId="7" xfId="0" applyNumberFormat="1" applyFont="1" applyFill="1" applyBorder="1" applyAlignment="1">
      <alignment horizontal="left" wrapText="1"/>
    </xf>
    <xf numFmtId="2" fontId="2" fillId="0" borderId="7" xfId="0" applyNumberFormat="1" applyFont="1" applyBorder="1" applyAlignment="1">
      <alignment horizontal="left" wrapText="1"/>
    </xf>
    <xf numFmtId="166" fontId="7" fillId="4" borderId="7" xfId="0" applyNumberFormat="1" applyFont="1" applyFill="1" applyBorder="1" applyAlignment="1">
      <alignment horizontal="left" wrapText="1"/>
    </xf>
    <xf numFmtId="166" fontId="7" fillId="5" borderId="7" xfId="0" applyNumberFormat="1" applyFont="1" applyFill="1" applyBorder="1" applyAlignment="1">
      <alignment horizontal="left" wrapText="1"/>
    </xf>
    <xf numFmtId="0" fontId="0" fillId="7" borderId="0" xfId="0" applyFill="1"/>
    <xf numFmtId="0" fontId="8" fillId="7" borderId="0" xfId="0" applyFont="1" applyFill="1"/>
    <xf numFmtId="0" fontId="2" fillId="4" borderId="9" xfId="0" applyFont="1" applyFill="1" applyBorder="1" applyAlignment="1">
      <alignment horizontal="left" wrapText="1"/>
    </xf>
    <xf numFmtId="0" fontId="2" fillId="4" borderId="1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166" fontId="7" fillId="0" borderId="7" xfId="0" applyNumberFormat="1" applyFont="1" applyBorder="1" applyAlignment="1">
      <alignment horizontal="left" wrapText="1"/>
    </xf>
    <xf numFmtId="2" fontId="7" fillId="6" borderId="7" xfId="0" applyNumberFormat="1" applyFont="1" applyFill="1" applyBorder="1" applyAlignment="1">
      <alignment horizontal="left" wrapText="1"/>
    </xf>
    <xf numFmtId="166" fontId="7" fillId="6" borderId="7" xfId="0" applyNumberFormat="1" applyFont="1" applyFill="1" applyBorder="1" applyAlignment="1">
      <alignment horizontal="left" wrapText="1"/>
    </xf>
    <xf numFmtId="2" fontId="7" fillId="5" borderId="7" xfId="0" applyNumberFormat="1" applyFont="1" applyFill="1" applyBorder="1" applyAlignment="1">
      <alignment horizontal="left" wrapText="1"/>
    </xf>
    <xf numFmtId="2" fontId="7" fillId="0" borderId="7" xfId="0" applyNumberFormat="1" applyFont="1" applyBorder="1" applyAlignment="1">
      <alignment horizontal="left" wrapText="1"/>
    </xf>
    <xf numFmtId="164" fontId="7" fillId="5" borderId="7" xfId="0" applyNumberFormat="1" applyFont="1" applyFill="1" applyBorder="1" applyAlignment="1">
      <alignment horizontal="left" wrapText="1"/>
    </xf>
    <xf numFmtId="164" fontId="7" fillId="0" borderId="7" xfId="0" applyNumberFormat="1" applyFont="1" applyBorder="1" applyAlignment="1">
      <alignment horizontal="left" wrapText="1"/>
    </xf>
    <xf numFmtId="164" fontId="7" fillId="6" borderId="7" xfId="0" applyNumberFormat="1" applyFont="1" applyFill="1" applyBorder="1" applyAlignment="1">
      <alignment horizontal="left" wrapText="1"/>
    </xf>
    <xf numFmtId="167" fontId="7" fillId="4" borderId="7" xfId="0" applyNumberFormat="1" applyFont="1" applyFill="1" applyBorder="1" applyAlignment="1">
      <alignment horizontal="left" wrapText="1"/>
    </xf>
    <xf numFmtId="0" fontId="5" fillId="3" borderId="17" xfId="0" applyFont="1" applyFill="1" applyBorder="1" applyAlignment="1">
      <alignment wrapText="1"/>
    </xf>
    <xf numFmtId="0" fontId="5" fillId="3" borderId="16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2" fillId="8" borderId="7" xfId="0" applyFont="1" applyFill="1" applyBorder="1" applyAlignment="1">
      <alignment horizontal="left" wrapText="1"/>
    </xf>
    <xf numFmtId="0" fontId="2" fillId="9" borderId="7" xfId="0" applyFont="1" applyFill="1" applyBorder="1" applyAlignment="1">
      <alignment horizontal="left" wrapText="1"/>
    </xf>
    <xf numFmtId="0" fontId="2" fillId="10" borderId="7" xfId="0" applyFont="1" applyFill="1" applyBorder="1" applyAlignment="1">
      <alignment horizontal="left" wrapText="1"/>
    </xf>
    <xf numFmtId="164" fontId="2" fillId="0" borderId="7" xfId="0" applyNumberFormat="1" applyFont="1" applyBorder="1" applyAlignment="1">
      <alignment horizontal="left" wrapText="1"/>
    </xf>
    <xf numFmtId="166" fontId="1" fillId="2" borderId="12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5" fillId="3" borderId="17" xfId="0" applyNumberFormat="1" applyFont="1" applyFill="1" applyBorder="1" applyAlignment="1">
      <alignment wrapText="1"/>
    </xf>
    <xf numFmtId="166" fontId="5" fillId="3" borderId="10" xfId="0" applyNumberFormat="1" applyFont="1" applyFill="1" applyBorder="1"/>
    <xf numFmtId="0" fontId="6" fillId="0" borderId="8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8" fillId="0" borderId="0" xfId="0" applyFont="1"/>
    <xf numFmtId="0" fontId="2" fillId="4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3" borderId="10" xfId="0" applyFont="1" applyFill="1" applyBorder="1" applyAlignment="1">
      <alignment horizontal="left" wrapText="1"/>
    </xf>
    <xf numFmtId="166" fontId="5" fillId="3" borderId="10" xfId="0" applyNumberFormat="1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/>
    </xf>
    <xf numFmtId="0" fontId="8" fillId="0" borderId="0" xfId="0" applyFont="1" applyAlignment="1">
      <alignment vertical="center" wrapText="1"/>
    </xf>
    <xf numFmtId="2" fontId="7" fillId="4" borderId="7" xfId="0" applyNumberFormat="1" applyFont="1" applyFill="1" applyBorder="1" applyAlignment="1">
      <alignment horizontal="left" wrapText="1"/>
    </xf>
    <xf numFmtId="10" fontId="2" fillId="0" borderId="7" xfId="1" applyNumberFormat="1" applyFont="1" applyBorder="1" applyAlignment="1">
      <alignment horizontal="left" wrapText="1"/>
    </xf>
    <xf numFmtId="168" fontId="7" fillId="6" borderId="7" xfId="0" applyNumberFormat="1" applyFont="1" applyFill="1" applyBorder="1" applyAlignment="1">
      <alignment horizontal="left" wrapText="1"/>
    </xf>
    <xf numFmtId="168" fontId="7" fillId="4" borderId="7" xfId="0" applyNumberFormat="1" applyFont="1" applyFill="1" applyBorder="1" applyAlignment="1">
      <alignment horizontal="left" wrapText="1"/>
    </xf>
    <xf numFmtId="168" fontId="2" fillId="0" borderId="7" xfId="1" applyNumberFormat="1" applyFont="1" applyBorder="1" applyAlignment="1">
      <alignment horizontal="left" wrapText="1"/>
    </xf>
    <xf numFmtId="164" fontId="7" fillId="9" borderId="7" xfId="2" applyNumberFormat="1" applyFont="1" applyFill="1" applyBorder="1" applyAlignment="1">
      <alignment horizontal="left" wrapText="1"/>
    </xf>
    <xf numFmtId="167" fontId="7" fillId="0" borderId="7" xfId="0" applyNumberFormat="1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5" fillId="3" borderId="29" xfId="0" applyFont="1" applyFill="1" applyBorder="1" applyAlignment="1">
      <alignment wrapText="1"/>
    </xf>
    <xf numFmtId="166" fontId="5" fillId="3" borderId="29" xfId="0" applyNumberFormat="1" applyFont="1" applyFill="1" applyBorder="1" applyAlignment="1">
      <alignment wrapText="1"/>
    </xf>
    <xf numFmtId="0" fontId="5" fillId="3" borderId="30" xfId="0" applyFont="1" applyFill="1" applyBorder="1"/>
    <xf numFmtId="0" fontId="4" fillId="0" borderId="32" xfId="0" applyFont="1" applyBorder="1"/>
    <xf numFmtId="0" fontId="4" fillId="0" borderId="32" xfId="0" applyFon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4" fillId="0" borderId="31" xfId="0" applyFont="1" applyBorder="1" applyAlignment="1">
      <alignment horizontal="center"/>
    </xf>
    <xf numFmtId="167" fontId="0" fillId="0" borderId="34" xfId="0" applyNumberFormat="1" applyBorder="1" applyAlignment="1">
      <alignment horizontal="center"/>
    </xf>
    <xf numFmtId="167" fontId="0" fillId="0" borderId="35" xfId="0" applyNumberForma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wrapText="1"/>
    </xf>
    <xf numFmtId="0" fontId="6" fillId="4" borderId="6" xfId="0" applyFont="1" applyFill="1" applyBorder="1" applyAlignment="1">
      <alignment horizontal="left" wrapText="1"/>
    </xf>
    <xf numFmtId="0" fontId="6" fillId="4" borderId="8" xfId="0" applyFont="1" applyFill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6" fontId="1" fillId="2" borderId="12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wrapText="1"/>
    </xf>
    <xf numFmtId="0" fontId="2" fillId="4" borderId="1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6" fillId="0" borderId="28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4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0" xfId="0" applyBorder="1"/>
    <xf numFmtId="167" fontId="0" fillId="0" borderId="0" xfId="0" applyNumberFormat="1" applyBorder="1"/>
    <xf numFmtId="2" fontId="0" fillId="0" borderId="0" xfId="0" applyNumberFormat="1" applyBorder="1"/>
    <xf numFmtId="168" fontId="0" fillId="0" borderId="0" xfId="1" applyNumberFormat="1" applyFont="1" applyBorder="1"/>
    <xf numFmtId="0" fontId="4" fillId="0" borderId="20" xfId="0" applyFont="1" applyBorder="1"/>
    <xf numFmtId="164" fontId="0" fillId="0" borderId="0" xfId="0" applyNumberFormat="1" applyBorder="1"/>
    <xf numFmtId="168" fontId="0" fillId="0" borderId="3" xfId="1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CA87-257F-48B7-ACDA-49CE3391ED12}">
  <dimension ref="A1:M69"/>
  <sheetViews>
    <sheetView topLeftCell="A38" zoomScaleNormal="100" workbookViewId="0">
      <selection activeCell="M45" sqref="M45:M46"/>
    </sheetView>
  </sheetViews>
  <sheetFormatPr defaultRowHeight="15"/>
  <cols>
    <col min="2" max="2" width="39.28515625" customWidth="1"/>
    <col min="3" max="3" width="11.28515625" customWidth="1"/>
    <col min="4" max="4" width="11" customWidth="1"/>
    <col min="6" max="6" width="7.7109375" customWidth="1"/>
    <col min="7" max="7" width="12.28515625" customWidth="1"/>
    <col min="10" max="10" width="10.85546875" customWidth="1"/>
    <col min="11" max="11" width="10.140625" customWidth="1"/>
    <col min="12" max="12" width="7.85546875" customWidth="1"/>
    <col min="13" max="13" width="14.42578125" customWidth="1"/>
    <col min="16" max="16" width="9.140625" customWidth="1"/>
    <col min="18" max="18" width="19" customWidth="1"/>
  </cols>
  <sheetData>
    <row r="1" spans="1:13" ht="22.5" customHeight="1">
      <c r="A1" s="139" t="s">
        <v>0</v>
      </c>
      <c r="B1" s="135" t="s">
        <v>1</v>
      </c>
      <c r="C1" s="135" t="s">
        <v>2</v>
      </c>
      <c r="D1" s="135" t="s">
        <v>3</v>
      </c>
      <c r="E1" s="141" t="s">
        <v>32</v>
      </c>
      <c r="F1" s="141"/>
      <c r="G1" s="141"/>
      <c r="H1" s="141"/>
      <c r="I1" s="141"/>
      <c r="J1" s="135" t="s">
        <v>35</v>
      </c>
      <c r="K1" s="135" t="s">
        <v>36</v>
      </c>
      <c r="L1" s="135" t="s">
        <v>31</v>
      </c>
      <c r="M1" s="137" t="s">
        <v>37</v>
      </c>
    </row>
    <row r="2" spans="1:13" ht="18.75" customHeight="1">
      <c r="A2" s="140"/>
      <c r="B2" s="136"/>
      <c r="C2" s="136"/>
      <c r="D2" s="136"/>
      <c r="E2" s="102" t="s">
        <v>4</v>
      </c>
      <c r="F2" s="102" t="s">
        <v>31</v>
      </c>
      <c r="G2" s="103" t="s">
        <v>246</v>
      </c>
      <c r="H2" s="102" t="s">
        <v>33</v>
      </c>
      <c r="I2" s="102" t="s">
        <v>34</v>
      </c>
      <c r="J2" s="136"/>
      <c r="K2" s="136"/>
      <c r="L2" s="136"/>
      <c r="M2" s="138"/>
    </row>
    <row r="3" spans="1:13" ht="15.75" thickBot="1">
      <c r="A3" s="106" t="s">
        <v>39</v>
      </c>
      <c r="B3" s="104"/>
      <c r="C3" s="104"/>
      <c r="D3" s="104"/>
      <c r="E3" s="104"/>
      <c r="F3" s="104"/>
      <c r="G3" s="105"/>
      <c r="H3" s="104"/>
      <c r="I3" s="104"/>
      <c r="J3" s="104"/>
      <c r="K3" s="104"/>
      <c r="L3" s="104"/>
      <c r="M3" s="104"/>
    </row>
    <row r="4" spans="1:13" ht="15.75" customHeight="1" thickBot="1">
      <c r="A4" s="130">
        <v>1</v>
      </c>
      <c r="B4" s="89" t="s">
        <v>5</v>
      </c>
      <c r="C4" s="23" t="s">
        <v>40</v>
      </c>
      <c r="D4" s="23" t="s">
        <v>41</v>
      </c>
      <c r="E4" s="23"/>
      <c r="F4" s="23"/>
      <c r="G4" s="50"/>
      <c r="H4" s="23"/>
      <c r="I4" s="23"/>
      <c r="J4" s="23"/>
      <c r="K4" s="23"/>
      <c r="L4" s="23"/>
      <c r="M4" s="23"/>
    </row>
    <row r="5" spans="1:13" ht="15.75" thickBot="1">
      <c r="A5" s="131"/>
      <c r="B5" s="88" t="s">
        <v>6</v>
      </c>
      <c r="C5" s="22"/>
      <c r="D5" s="22"/>
      <c r="E5" s="64">
        <v>53.881000000000007</v>
      </c>
      <c r="F5" s="28" t="s">
        <v>42</v>
      </c>
      <c r="G5" s="54">
        <v>5.5682481785367441</v>
      </c>
      <c r="H5" s="25">
        <v>44.73</v>
      </c>
      <c r="I5" s="25">
        <v>61.23</v>
      </c>
      <c r="J5" s="22"/>
      <c r="K5" s="22"/>
      <c r="L5" s="22"/>
      <c r="M5" s="22"/>
    </row>
    <row r="6" spans="1:13" ht="15.75" thickBot="1">
      <c r="A6" s="132"/>
      <c r="B6" s="89" t="s">
        <v>7</v>
      </c>
      <c r="C6" s="23"/>
      <c r="D6" s="23"/>
      <c r="E6" s="62">
        <v>37.966881250000007</v>
      </c>
      <c r="F6" s="26" t="s">
        <v>42</v>
      </c>
      <c r="G6" s="63">
        <v>5.5312644101616195</v>
      </c>
      <c r="H6" s="62">
        <v>30.259899999999998</v>
      </c>
      <c r="I6" s="62">
        <v>51.003999999999998</v>
      </c>
      <c r="J6" s="23"/>
      <c r="K6" s="23"/>
      <c r="L6" s="23"/>
      <c r="M6" s="23" t="s">
        <v>43</v>
      </c>
    </row>
    <row r="7" spans="1:13" ht="15.75" customHeight="1" thickBot="1">
      <c r="A7" s="27">
        <v>2</v>
      </c>
      <c r="B7" s="88" t="s">
        <v>8</v>
      </c>
      <c r="C7" s="22" t="s">
        <v>40</v>
      </c>
      <c r="D7" s="22" t="s">
        <v>41</v>
      </c>
      <c r="E7" s="64">
        <v>38.095312500000006</v>
      </c>
      <c r="F7" s="28" t="s">
        <v>42</v>
      </c>
      <c r="G7" s="54">
        <v>5.5355490355519255</v>
      </c>
      <c r="H7" s="25">
        <v>30.39</v>
      </c>
      <c r="I7" s="25">
        <v>51.12</v>
      </c>
      <c r="J7" s="22"/>
      <c r="K7" s="22"/>
      <c r="L7" s="22"/>
      <c r="M7" s="22"/>
    </row>
    <row r="8" spans="1:13" ht="15.75" customHeight="1" thickBot="1">
      <c r="A8" s="31">
        <v>3</v>
      </c>
      <c r="B8" s="89" t="s">
        <v>9</v>
      </c>
      <c r="C8" s="23" t="s">
        <v>40</v>
      </c>
      <c r="D8" s="23" t="s">
        <v>41</v>
      </c>
      <c r="E8" s="65">
        <v>38.863231249999998</v>
      </c>
      <c r="F8" s="23" t="s">
        <v>42</v>
      </c>
      <c r="G8" s="61">
        <v>5.5363982940138721</v>
      </c>
      <c r="H8" s="65">
        <v>31.17</v>
      </c>
      <c r="I8" s="65">
        <v>51.902799999999999</v>
      </c>
      <c r="J8" s="23"/>
      <c r="K8" s="23"/>
      <c r="L8" s="23"/>
      <c r="M8" s="23"/>
    </row>
    <row r="9" spans="1:13" ht="15.75" customHeight="1" thickBot="1">
      <c r="A9" s="27">
        <v>4</v>
      </c>
      <c r="B9" s="88" t="s">
        <v>44</v>
      </c>
      <c r="C9" s="22" t="s">
        <v>40</v>
      </c>
      <c r="D9" s="22" t="s">
        <v>41</v>
      </c>
      <c r="E9" s="66">
        <v>0.89634999999999998</v>
      </c>
      <c r="F9" s="22" t="s">
        <v>42</v>
      </c>
      <c r="G9" s="54">
        <v>2.760586660417929E-2</v>
      </c>
      <c r="H9" s="66">
        <v>0.82709999999999995</v>
      </c>
      <c r="I9" s="66">
        <v>0.94879999999999987</v>
      </c>
      <c r="J9" s="22"/>
      <c r="K9" s="22"/>
      <c r="L9" s="22"/>
      <c r="M9" s="22"/>
    </row>
    <row r="10" spans="1:13" ht="15.75" customHeight="1" thickBot="1">
      <c r="A10" s="31">
        <v>5</v>
      </c>
      <c r="B10" s="89" t="s">
        <v>10</v>
      </c>
      <c r="C10" s="23" t="s">
        <v>40</v>
      </c>
      <c r="D10" s="23" t="s">
        <v>41</v>
      </c>
      <c r="E10" s="67">
        <v>0.76791875000000009</v>
      </c>
      <c r="F10" s="23" t="s">
        <v>42</v>
      </c>
      <c r="G10" s="61">
        <v>3.0233323182296074E-2</v>
      </c>
      <c r="H10" s="67">
        <v>0.7198</v>
      </c>
      <c r="I10" s="67">
        <v>0.81179999999999997</v>
      </c>
      <c r="J10" s="23"/>
      <c r="K10" s="23"/>
      <c r="L10" s="23"/>
      <c r="M10" s="23"/>
    </row>
    <row r="11" spans="1:13" ht="15.75" thickBot="1">
      <c r="A11" s="92" t="s">
        <v>11</v>
      </c>
      <c r="B11" s="90"/>
      <c r="C11" s="90"/>
      <c r="D11" s="90"/>
      <c r="E11" s="90"/>
      <c r="F11" s="90"/>
      <c r="G11" s="91"/>
      <c r="H11" s="90"/>
      <c r="I11" s="90"/>
      <c r="J11" s="90"/>
      <c r="K11" s="90"/>
      <c r="L11" s="90"/>
      <c r="M11" s="90"/>
    </row>
    <row r="12" spans="1:13" ht="15.75" thickBot="1">
      <c r="A12" s="31">
        <v>6</v>
      </c>
      <c r="B12" s="89" t="s">
        <v>11</v>
      </c>
      <c r="C12" s="23" t="s">
        <v>45</v>
      </c>
      <c r="D12" s="23" t="s">
        <v>46</v>
      </c>
      <c r="E12" s="23">
        <v>1.081</v>
      </c>
      <c r="F12" s="23" t="s">
        <v>42</v>
      </c>
      <c r="G12" s="50">
        <v>0.12989999999999999</v>
      </c>
      <c r="H12" s="23">
        <v>0.55279999999999996</v>
      </c>
      <c r="I12" s="23">
        <v>1.8180000000000001</v>
      </c>
      <c r="J12" s="23"/>
      <c r="K12" s="23"/>
      <c r="L12" s="23"/>
      <c r="M12" s="23"/>
    </row>
    <row r="13" spans="1:13" ht="18" customHeight="1" thickBot="1">
      <c r="A13" s="27">
        <v>7</v>
      </c>
      <c r="B13" s="88" t="s">
        <v>47</v>
      </c>
      <c r="C13" s="22" t="s">
        <v>48</v>
      </c>
      <c r="D13" s="22" t="s">
        <v>49</v>
      </c>
      <c r="E13" s="22">
        <v>679.8</v>
      </c>
      <c r="F13" s="22" t="s">
        <v>50</v>
      </c>
      <c r="G13" s="48">
        <v>34.33</v>
      </c>
      <c r="H13" s="22">
        <v>654.20000000000005</v>
      </c>
      <c r="I13" s="22">
        <v>804.1</v>
      </c>
      <c r="J13" s="22"/>
      <c r="K13" s="22"/>
      <c r="L13" s="22"/>
      <c r="M13" s="22"/>
    </row>
    <row r="14" spans="1:13" ht="15.75" customHeight="1" thickBot="1">
      <c r="A14" s="31">
        <v>8</v>
      </c>
      <c r="B14" s="89" t="s">
        <v>12</v>
      </c>
      <c r="C14" s="23" t="s">
        <v>51</v>
      </c>
      <c r="D14" s="23" t="s">
        <v>52</v>
      </c>
      <c r="E14" s="23">
        <v>512.29999999999995</v>
      </c>
      <c r="F14" s="23" t="s">
        <v>42</v>
      </c>
      <c r="G14" s="50">
        <v>0.23580000000000001</v>
      </c>
      <c r="H14" s="23">
        <v>512.1</v>
      </c>
      <c r="I14" s="23">
        <v>512.79999999999995</v>
      </c>
      <c r="J14" s="23"/>
      <c r="K14" s="23"/>
      <c r="L14" s="23"/>
      <c r="M14" s="23"/>
    </row>
    <row r="15" spans="1:13" ht="15.75" customHeight="1" thickBot="1">
      <c r="A15" s="27">
        <v>9</v>
      </c>
      <c r="B15" s="88" t="s">
        <v>237</v>
      </c>
      <c r="C15" s="22" t="s">
        <v>53</v>
      </c>
      <c r="D15" s="22" t="s">
        <v>54</v>
      </c>
      <c r="E15" s="51">
        <v>84.8</v>
      </c>
      <c r="F15" s="22" t="s">
        <v>50</v>
      </c>
      <c r="G15" s="48">
        <v>33.67</v>
      </c>
      <c r="H15" s="48">
        <v>76.989999999999995</v>
      </c>
      <c r="I15" s="22">
        <v>144</v>
      </c>
      <c r="J15" s="22">
        <v>9.9939999999999998</v>
      </c>
      <c r="K15" s="22"/>
      <c r="L15" s="22"/>
      <c r="M15" s="22"/>
    </row>
    <row r="16" spans="1:13" ht="15.75" thickBot="1">
      <c r="A16" s="92" t="s">
        <v>55</v>
      </c>
      <c r="B16" s="90"/>
      <c r="C16" s="90"/>
      <c r="D16" s="90"/>
      <c r="E16" s="90"/>
      <c r="F16" s="90"/>
      <c r="G16" s="91"/>
      <c r="H16" s="90"/>
      <c r="I16" s="90"/>
      <c r="J16" s="90"/>
      <c r="K16" s="90"/>
      <c r="L16" s="90"/>
      <c r="M16" s="90"/>
    </row>
    <row r="17" spans="1:13" ht="16.5" customHeight="1" thickBot="1">
      <c r="A17" s="27">
        <v>10</v>
      </c>
      <c r="B17" s="88" t="s">
        <v>56</v>
      </c>
      <c r="C17" s="22" t="s">
        <v>57</v>
      </c>
      <c r="D17" s="22" t="s">
        <v>58</v>
      </c>
      <c r="E17" s="22">
        <v>1.0620000000000001</v>
      </c>
      <c r="F17" s="22" t="s">
        <v>50</v>
      </c>
      <c r="G17" s="49" t="s">
        <v>59</v>
      </c>
      <c r="H17" s="22">
        <v>1.0609999999999999</v>
      </c>
      <c r="I17" s="22">
        <v>1.0629999999999999</v>
      </c>
      <c r="J17" s="22">
        <v>1001</v>
      </c>
      <c r="K17" s="22">
        <v>0.999</v>
      </c>
      <c r="L17" s="22" t="s">
        <v>42</v>
      </c>
      <c r="M17" s="97">
        <v>1.063062E-3</v>
      </c>
    </row>
    <row r="18" spans="1:13" ht="15.75" customHeight="1" thickBot="1">
      <c r="A18" s="31">
        <v>11</v>
      </c>
      <c r="B18" s="89" t="s">
        <v>60</v>
      </c>
      <c r="C18" s="23" t="s">
        <v>61</v>
      </c>
      <c r="D18" s="23" t="s">
        <v>62</v>
      </c>
      <c r="E18" s="23">
        <v>1.621</v>
      </c>
      <c r="F18" s="23" t="s">
        <v>50</v>
      </c>
      <c r="G18" s="50" t="s">
        <v>59</v>
      </c>
      <c r="H18" s="23">
        <v>1.6120000000000001</v>
      </c>
      <c r="I18" s="23">
        <v>1.639</v>
      </c>
      <c r="J18" s="23"/>
      <c r="K18" s="23"/>
      <c r="L18" s="23"/>
      <c r="M18" s="23"/>
    </row>
    <row r="19" spans="1:13" ht="15.75" customHeight="1" thickBot="1">
      <c r="A19" s="27">
        <v>12</v>
      </c>
      <c r="B19" s="88" t="s">
        <v>63</v>
      </c>
      <c r="C19" s="22">
        <v>5354</v>
      </c>
      <c r="D19" s="22" t="s">
        <v>64</v>
      </c>
      <c r="E19" s="22">
        <v>47.23</v>
      </c>
      <c r="F19" s="22" t="s">
        <v>50</v>
      </c>
      <c r="G19" s="49">
        <v>9.9220000000000006</v>
      </c>
      <c r="H19" s="22">
        <v>3.198</v>
      </c>
      <c r="I19" s="22">
        <v>86.61</v>
      </c>
      <c r="J19" s="22"/>
      <c r="K19" s="22"/>
      <c r="L19" s="22"/>
      <c r="M19" s="22"/>
    </row>
    <row r="20" spans="1:13" ht="15.75" thickBot="1">
      <c r="A20" s="31">
        <v>13</v>
      </c>
      <c r="B20" s="89" t="s">
        <v>65</v>
      </c>
      <c r="C20" s="23" t="s">
        <v>66</v>
      </c>
      <c r="D20" s="23" t="s">
        <v>67</v>
      </c>
      <c r="E20" s="77">
        <v>7.49</v>
      </c>
      <c r="F20" s="23" t="s">
        <v>50</v>
      </c>
      <c r="G20" s="50">
        <v>0.88039999999999996</v>
      </c>
      <c r="H20" s="77">
        <v>0.99390000000000001</v>
      </c>
      <c r="I20" s="74">
        <v>8.0370000000000008</v>
      </c>
      <c r="J20" s="23"/>
      <c r="K20" s="101"/>
      <c r="L20" s="23"/>
      <c r="M20" s="23"/>
    </row>
    <row r="21" spans="1:13" ht="15.75" customHeight="1" thickBot="1">
      <c r="A21" s="27">
        <v>14</v>
      </c>
      <c r="B21" s="88" t="s">
        <v>68</v>
      </c>
      <c r="C21" s="22" t="s">
        <v>69</v>
      </c>
      <c r="D21" s="22" t="s">
        <v>70</v>
      </c>
      <c r="E21" s="22"/>
      <c r="F21" s="22"/>
      <c r="G21" s="49"/>
      <c r="H21" s="22"/>
      <c r="I21" s="22"/>
      <c r="J21" s="22"/>
      <c r="K21" s="22"/>
      <c r="L21" s="22"/>
      <c r="M21" s="97">
        <v>4.3592154974080963E-2</v>
      </c>
    </row>
    <row r="22" spans="1:13" ht="15.75" thickBot="1">
      <c r="A22" s="31">
        <v>15</v>
      </c>
      <c r="B22" s="89" t="s">
        <v>71</v>
      </c>
      <c r="C22" s="23" t="s">
        <v>72</v>
      </c>
      <c r="D22" s="34" t="s">
        <v>73</v>
      </c>
      <c r="E22" s="23"/>
      <c r="F22" s="23"/>
      <c r="G22" s="50"/>
      <c r="H22" s="23"/>
      <c r="I22" s="23"/>
      <c r="J22" s="23"/>
      <c r="K22" s="47"/>
      <c r="L22" s="23"/>
      <c r="M22" s="47"/>
    </row>
    <row r="23" spans="1:13" ht="15.75" thickBot="1">
      <c r="A23" s="27"/>
      <c r="B23" s="88" t="s">
        <v>6</v>
      </c>
      <c r="C23" s="22"/>
      <c r="D23" s="22"/>
      <c r="E23" s="22">
        <v>32.42</v>
      </c>
      <c r="F23" s="22" t="s">
        <v>20</v>
      </c>
      <c r="G23" s="49">
        <v>2.4049999999999998</v>
      </c>
      <c r="H23" s="22">
        <v>31.04</v>
      </c>
      <c r="I23" s="22">
        <v>47.94</v>
      </c>
      <c r="J23" s="22">
        <v>2003</v>
      </c>
      <c r="K23" s="24">
        <v>499.9</v>
      </c>
      <c r="L23" s="22" t="s">
        <v>20</v>
      </c>
      <c r="M23" s="97">
        <v>6.4937259999999997E-2</v>
      </c>
    </row>
    <row r="24" spans="1:13" ht="15.75" thickBot="1">
      <c r="A24" s="31"/>
      <c r="B24" s="89" t="s">
        <v>7</v>
      </c>
      <c r="C24" s="23"/>
      <c r="D24" s="23"/>
      <c r="E24" s="23">
        <v>31.84</v>
      </c>
      <c r="F24" s="23" t="s">
        <v>20</v>
      </c>
      <c r="G24" s="50">
        <v>2.2770000000000001</v>
      </c>
      <c r="H24" s="23">
        <v>29.69</v>
      </c>
      <c r="I24" s="23">
        <v>45.26</v>
      </c>
      <c r="J24" s="23">
        <v>2003</v>
      </c>
      <c r="K24" s="32">
        <v>499.2</v>
      </c>
      <c r="L24" s="23" t="s">
        <v>20</v>
      </c>
      <c r="M24" s="96">
        <v>6.3775520000000002E-2</v>
      </c>
    </row>
    <row r="25" spans="1:13" ht="15.75" thickBot="1">
      <c r="A25" s="27">
        <v>16</v>
      </c>
      <c r="B25" s="88" t="s">
        <v>74</v>
      </c>
      <c r="C25" s="22" t="s">
        <v>75</v>
      </c>
      <c r="D25" s="22" t="s">
        <v>76</v>
      </c>
      <c r="E25" s="22">
        <v>2.4329999999999998</v>
      </c>
      <c r="F25" s="22" t="s">
        <v>20</v>
      </c>
      <c r="G25" s="51">
        <v>824.6</v>
      </c>
      <c r="H25" s="22">
        <v>2.4319999999999999</v>
      </c>
      <c r="I25" s="22">
        <v>2.4350000000000001</v>
      </c>
      <c r="J25" s="22">
        <v>9.9890000000000008</v>
      </c>
      <c r="K25" s="69">
        <v>100.11</v>
      </c>
      <c r="L25" s="24" t="s">
        <v>42</v>
      </c>
      <c r="M25" s="97">
        <v>2.4303236999999999E-5</v>
      </c>
    </row>
    <row r="26" spans="1:13" ht="15.75" thickBot="1">
      <c r="A26" s="31">
        <v>17</v>
      </c>
      <c r="B26" s="89" t="s">
        <v>77</v>
      </c>
      <c r="C26" s="23" t="s">
        <v>78</v>
      </c>
      <c r="D26" s="23" t="s">
        <v>79</v>
      </c>
      <c r="E26" s="23">
        <v>4.9059999999999997</v>
      </c>
      <c r="F26" s="23" t="s">
        <v>20</v>
      </c>
      <c r="G26" s="50">
        <v>0.1079</v>
      </c>
      <c r="H26" s="23">
        <v>4.4260000000000002</v>
      </c>
      <c r="I26" s="23">
        <v>5.2389999999999999</v>
      </c>
      <c r="J26" s="23"/>
      <c r="K26" s="100">
        <v>100.08900000000001</v>
      </c>
      <c r="L26" s="47" t="s">
        <v>42</v>
      </c>
      <c r="M26" s="96">
        <v>1.2643975619868251E-3</v>
      </c>
    </row>
    <row r="27" spans="1:13" ht="15.75" thickBot="1">
      <c r="A27" s="27">
        <v>18</v>
      </c>
      <c r="B27" s="88" t="s">
        <v>80</v>
      </c>
      <c r="C27" s="22" t="s">
        <v>81</v>
      </c>
      <c r="D27" s="22" t="s">
        <v>82</v>
      </c>
      <c r="E27" s="22">
        <v>3.2469999999999999</v>
      </c>
      <c r="F27" s="22" t="s">
        <v>20</v>
      </c>
      <c r="G27" s="48">
        <v>22.31</v>
      </c>
      <c r="H27" s="22">
        <v>3.181</v>
      </c>
      <c r="I27" s="22">
        <v>3.3079999999999998</v>
      </c>
      <c r="J27" s="22">
        <v>100.3</v>
      </c>
      <c r="K27" s="24">
        <v>9.9719999999999995</v>
      </c>
      <c r="L27" s="24" t="s">
        <v>42</v>
      </c>
      <c r="M27" s="97">
        <v>3.2567409999999995E-4</v>
      </c>
    </row>
    <row r="28" spans="1:13" ht="15.75" thickBot="1">
      <c r="A28" s="31">
        <v>19</v>
      </c>
      <c r="B28" s="89" t="s">
        <v>153</v>
      </c>
      <c r="C28" s="23" t="s">
        <v>161</v>
      </c>
      <c r="D28" s="23" t="s">
        <v>162</v>
      </c>
      <c r="E28" s="77">
        <v>4.63</v>
      </c>
      <c r="F28" s="23" t="s">
        <v>20</v>
      </c>
      <c r="G28" s="50">
        <v>0.70909999999999995</v>
      </c>
      <c r="H28" s="23">
        <v>3.8690000000000002</v>
      </c>
      <c r="I28" s="23">
        <v>9.0489999999999995</v>
      </c>
      <c r="J28" s="23"/>
      <c r="K28" s="23"/>
      <c r="L28" s="23"/>
      <c r="M28" s="23"/>
    </row>
    <row r="29" spans="1:13" ht="15.75" customHeight="1" thickBot="1">
      <c r="A29" s="83">
        <v>22</v>
      </c>
      <c r="B29" s="88" t="s">
        <v>238</v>
      </c>
      <c r="C29" s="22" t="s">
        <v>155</v>
      </c>
      <c r="D29" s="22" t="s">
        <v>156</v>
      </c>
      <c r="E29" s="22"/>
      <c r="F29" s="22"/>
      <c r="G29" s="49"/>
      <c r="H29" s="22"/>
      <c r="I29" s="22"/>
      <c r="J29" s="22"/>
      <c r="K29" s="22"/>
      <c r="L29" s="22"/>
      <c r="M29" s="43">
        <v>1.4980739049793124E-2</v>
      </c>
    </row>
    <row r="30" spans="1:13" ht="15.75" thickBot="1">
      <c r="A30" s="92" t="s">
        <v>83</v>
      </c>
      <c r="B30" s="90"/>
      <c r="C30" s="90"/>
      <c r="D30" s="90"/>
      <c r="E30" s="90"/>
      <c r="F30" s="90"/>
      <c r="G30" s="91"/>
      <c r="H30" s="90"/>
      <c r="I30" s="90"/>
      <c r="J30" s="90"/>
      <c r="K30" s="90"/>
      <c r="L30" s="90"/>
      <c r="M30" s="90"/>
    </row>
    <row r="31" spans="1:13" ht="15.75" thickBot="1">
      <c r="A31" s="27">
        <v>23</v>
      </c>
      <c r="B31" s="88" t="s">
        <v>13</v>
      </c>
      <c r="C31" s="22" t="s">
        <v>84</v>
      </c>
      <c r="D31" s="29" t="s">
        <v>85</v>
      </c>
      <c r="E31" s="24">
        <v>3.9980000000000002</v>
      </c>
      <c r="F31" s="22" t="s">
        <v>42</v>
      </c>
      <c r="G31" s="53">
        <v>2.7179999999999999E-3</v>
      </c>
      <c r="H31" s="24">
        <v>3.9940000000000002</v>
      </c>
      <c r="I31" s="24">
        <v>4.0049999999999999</v>
      </c>
      <c r="J31" s="22"/>
      <c r="K31" s="22"/>
      <c r="L31" s="22"/>
      <c r="M31" s="22"/>
    </row>
    <row r="32" spans="1:13" ht="15.75" customHeight="1" thickBot="1">
      <c r="A32" s="31">
        <v>24</v>
      </c>
      <c r="B32" s="89" t="s">
        <v>86</v>
      </c>
      <c r="C32" s="23" t="s">
        <v>87</v>
      </c>
      <c r="D32" s="30" t="s">
        <v>88</v>
      </c>
      <c r="E32" s="23">
        <v>28.27</v>
      </c>
      <c r="F32" s="23" t="s">
        <v>42</v>
      </c>
      <c r="G32" s="50">
        <v>4.1280000000000001</v>
      </c>
      <c r="H32" s="74">
        <v>28.26</v>
      </c>
      <c r="I32" s="74">
        <v>28.27</v>
      </c>
      <c r="J32" s="23"/>
      <c r="K32" s="23"/>
      <c r="L32" s="23"/>
      <c r="M32" s="23"/>
    </row>
    <row r="33" spans="1:13" ht="15.75" customHeight="1" thickBot="1">
      <c r="A33" s="27">
        <v>25</v>
      </c>
      <c r="B33" s="88" t="s">
        <v>89</v>
      </c>
      <c r="C33" s="22" t="s">
        <v>90</v>
      </c>
      <c r="D33" s="22" t="s">
        <v>91</v>
      </c>
      <c r="E33" s="25">
        <v>8.2910000000000004</v>
      </c>
      <c r="F33" s="28" t="s">
        <v>42</v>
      </c>
      <c r="G33" s="54">
        <v>8.1599999999999999E-4</v>
      </c>
      <c r="H33" s="66">
        <v>8.2899999999999991</v>
      </c>
      <c r="I33" s="25">
        <v>8.2919999999999998</v>
      </c>
      <c r="J33" s="22"/>
      <c r="K33" s="22"/>
      <c r="L33" s="22"/>
      <c r="M33" s="22"/>
    </row>
    <row r="34" spans="1:13" ht="15.75" thickBot="1">
      <c r="A34" s="31">
        <v>26</v>
      </c>
      <c r="B34" s="89" t="s">
        <v>14</v>
      </c>
      <c r="C34" s="23" t="s">
        <v>92</v>
      </c>
      <c r="D34" s="23" t="s">
        <v>93</v>
      </c>
      <c r="E34" s="23">
        <v>944.1</v>
      </c>
      <c r="F34" s="23" t="s">
        <v>42</v>
      </c>
      <c r="G34" s="52">
        <v>460.1</v>
      </c>
      <c r="H34" s="23">
        <v>943.4</v>
      </c>
      <c r="I34" s="23">
        <v>944.5</v>
      </c>
      <c r="J34" s="23"/>
      <c r="K34" s="23"/>
      <c r="L34" s="23"/>
      <c r="M34" s="23"/>
    </row>
    <row r="35" spans="1:13" ht="15.75" customHeight="1" thickBot="1">
      <c r="A35" s="27">
        <v>27</v>
      </c>
      <c r="B35" s="88" t="s">
        <v>15</v>
      </c>
      <c r="C35" s="22" t="s">
        <v>94</v>
      </c>
      <c r="D35" s="22" t="s">
        <v>95</v>
      </c>
      <c r="E35" s="24">
        <v>1.0680000000000001</v>
      </c>
      <c r="F35" s="76" t="s">
        <v>96</v>
      </c>
      <c r="G35" s="53">
        <v>2.6440000000000001E-3</v>
      </c>
      <c r="H35" s="24">
        <v>1.0640000000000001</v>
      </c>
      <c r="I35" s="24">
        <v>1.071</v>
      </c>
      <c r="J35" s="22"/>
      <c r="K35" s="22"/>
      <c r="L35" s="22"/>
      <c r="M35" s="22"/>
    </row>
    <row r="36" spans="1:13" ht="15.75" thickBot="1">
      <c r="A36" s="31">
        <v>28</v>
      </c>
      <c r="B36" s="89" t="s">
        <v>16</v>
      </c>
      <c r="C36" s="23" t="s">
        <v>97</v>
      </c>
      <c r="D36" s="30" t="s">
        <v>98</v>
      </c>
      <c r="E36" s="47">
        <v>984.2</v>
      </c>
      <c r="F36" s="23" t="s">
        <v>42</v>
      </c>
      <c r="G36" s="61">
        <v>0.15776200000000001</v>
      </c>
      <c r="H36" s="100">
        <v>984</v>
      </c>
      <c r="I36" s="47">
        <v>984.6</v>
      </c>
      <c r="J36" s="23"/>
      <c r="K36" s="23"/>
      <c r="L36" s="23"/>
      <c r="M36" s="23"/>
    </row>
    <row r="37" spans="1:13" ht="15.75" thickBot="1">
      <c r="A37" s="27">
        <v>29</v>
      </c>
      <c r="B37" s="88" t="s">
        <v>245</v>
      </c>
      <c r="C37" s="22" t="s">
        <v>138</v>
      </c>
      <c r="D37" s="22" t="s">
        <v>139</v>
      </c>
      <c r="E37" s="24">
        <v>30.47</v>
      </c>
      <c r="F37" s="76" t="s">
        <v>20</v>
      </c>
      <c r="G37" s="53">
        <v>6.5100000000000002E-3</v>
      </c>
      <c r="H37" s="24">
        <v>30.46</v>
      </c>
      <c r="I37" s="24">
        <v>30.48</v>
      </c>
      <c r="J37" s="22"/>
      <c r="K37" s="22"/>
      <c r="L37" s="22"/>
      <c r="M37" s="22"/>
    </row>
    <row r="38" spans="1:13" ht="15.75" thickBot="1">
      <c r="A38" s="92" t="s">
        <v>99</v>
      </c>
      <c r="B38" s="90"/>
      <c r="C38" s="90"/>
      <c r="D38" s="90"/>
      <c r="E38" s="90"/>
      <c r="F38" s="90"/>
      <c r="G38" s="91"/>
      <c r="H38" s="90"/>
      <c r="I38" s="90"/>
      <c r="J38" s="90"/>
      <c r="K38" s="90"/>
      <c r="L38" s="90"/>
      <c r="M38" s="90"/>
    </row>
    <row r="39" spans="1:13" ht="18" customHeight="1" thickBot="1">
      <c r="A39" s="31">
        <v>30</v>
      </c>
      <c r="B39" s="23" t="s">
        <v>100</v>
      </c>
      <c r="C39" s="23" t="s">
        <v>101</v>
      </c>
      <c r="D39" s="23" t="s">
        <v>17</v>
      </c>
      <c r="E39" s="99">
        <v>1.47</v>
      </c>
      <c r="F39" s="26" t="s">
        <v>42</v>
      </c>
      <c r="G39" s="63">
        <v>1.14E-2</v>
      </c>
      <c r="H39" s="68">
        <v>1.45</v>
      </c>
      <c r="I39" s="68">
        <v>1.48</v>
      </c>
      <c r="J39" s="23"/>
      <c r="K39" s="23"/>
      <c r="L39" s="23"/>
      <c r="M39" s="23"/>
    </row>
    <row r="40" spans="1:13" ht="20.25" customHeight="1" thickBot="1">
      <c r="A40" s="27">
        <v>31</v>
      </c>
      <c r="B40" s="22" t="s">
        <v>18</v>
      </c>
      <c r="C40" s="22" t="s">
        <v>103</v>
      </c>
      <c r="D40" s="22" t="s">
        <v>104</v>
      </c>
      <c r="E40" s="25">
        <v>142.4</v>
      </c>
      <c r="F40" s="28" t="s">
        <v>20</v>
      </c>
      <c r="G40" s="66">
        <v>28.31</v>
      </c>
      <c r="H40" s="25">
        <v>119.5</v>
      </c>
      <c r="I40" s="25">
        <v>186.1</v>
      </c>
      <c r="J40" s="22"/>
      <c r="K40" s="22"/>
      <c r="L40" s="22"/>
      <c r="M40" s="22"/>
    </row>
    <row r="41" spans="1:13" ht="18" customHeight="1" thickBot="1">
      <c r="A41" s="31">
        <v>32</v>
      </c>
      <c r="B41" s="23" t="s">
        <v>106</v>
      </c>
      <c r="C41" s="23" t="s">
        <v>107</v>
      </c>
      <c r="D41" s="23" t="s">
        <v>19</v>
      </c>
      <c r="E41" s="32"/>
      <c r="F41" s="26" t="s">
        <v>20</v>
      </c>
      <c r="G41" s="63"/>
      <c r="H41" s="32"/>
      <c r="I41" s="26">
        <v>561.5</v>
      </c>
      <c r="J41" s="23"/>
      <c r="K41" s="23"/>
      <c r="L41" s="23"/>
      <c r="M41" s="23"/>
    </row>
    <row r="42" spans="1:13" ht="18" customHeight="1" thickBot="1">
      <c r="A42" s="92" t="s">
        <v>259</v>
      </c>
      <c r="B42" s="90"/>
      <c r="C42" s="90"/>
      <c r="D42" s="90"/>
      <c r="E42" s="90"/>
      <c r="F42" s="90"/>
      <c r="G42" s="91"/>
      <c r="H42" s="90"/>
      <c r="I42" s="90"/>
      <c r="J42" s="90"/>
      <c r="K42" s="90"/>
      <c r="L42" s="90"/>
      <c r="M42" s="90"/>
    </row>
    <row r="43" spans="1:13" ht="17.25" customHeight="1" thickBot="1">
      <c r="A43" s="27">
        <v>33</v>
      </c>
      <c r="B43" s="22" t="s">
        <v>244</v>
      </c>
      <c r="C43" s="22" t="s">
        <v>141</v>
      </c>
      <c r="D43" s="22" t="s">
        <v>142</v>
      </c>
      <c r="E43" s="25">
        <v>1.927</v>
      </c>
      <c r="F43" s="28" t="s">
        <v>42</v>
      </c>
      <c r="G43" s="54">
        <v>7.3786478737263082E-4</v>
      </c>
      <c r="H43" s="25">
        <v>1.9259999999999999</v>
      </c>
      <c r="I43" s="25">
        <v>1.9279999999999999</v>
      </c>
      <c r="J43" s="22"/>
      <c r="K43" s="22"/>
      <c r="L43" s="22"/>
      <c r="M43" s="22"/>
    </row>
    <row r="44" spans="1:13" ht="19.5" customHeight="1" thickBot="1">
      <c r="A44" s="31">
        <v>34</v>
      </c>
      <c r="B44" s="23" t="s">
        <v>243</v>
      </c>
      <c r="C44" s="23" t="s">
        <v>145</v>
      </c>
      <c r="D44" s="23" t="s">
        <v>146</v>
      </c>
      <c r="E44" s="32">
        <v>5.8719999999999999</v>
      </c>
      <c r="F44" s="26" t="s">
        <v>42</v>
      </c>
      <c r="G44" s="63">
        <v>3.7000000000000002E-3</v>
      </c>
      <c r="H44" s="32">
        <v>5.8659999999999997</v>
      </c>
      <c r="I44" s="32">
        <v>5.8769999999999998</v>
      </c>
      <c r="J44" s="23"/>
      <c r="K44" s="23"/>
      <c r="L44" s="23"/>
      <c r="M44" s="36"/>
    </row>
    <row r="45" spans="1:13" ht="17.25" customHeight="1" thickBot="1">
      <c r="A45" s="27">
        <v>35</v>
      </c>
      <c r="B45" s="22" t="s">
        <v>242</v>
      </c>
      <c r="C45" s="22" t="s">
        <v>148</v>
      </c>
      <c r="D45" s="22" t="s">
        <v>149</v>
      </c>
      <c r="E45" s="25"/>
      <c r="F45" s="28" t="s">
        <v>42</v>
      </c>
      <c r="G45" s="54"/>
      <c r="H45" s="25">
        <v>1.6379999999999999</v>
      </c>
      <c r="I45" s="25">
        <v>28.82</v>
      </c>
      <c r="J45" s="22"/>
      <c r="K45" s="22"/>
      <c r="L45" s="22"/>
      <c r="M45" s="37"/>
    </row>
    <row r="46" spans="1:13" ht="18" customHeight="1" thickBot="1">
      <c r="A46" s="31">
        <v>36</v>
      </c>
      <c r="B46" s="23" t="s">
        <v>241</v>
      </c>
      <c r="C46" s="23" t="s">
        <v>151</v>
      </c>
      <c r="D46" s="23" t="s">
        <v>152</v>
      </c>
      <c r="E46" s="32">
        <v>2.0830000000000002</v>
      </c>
      <c r="F46" s="26" t="s">
        <v>42</v>
      </c>
      <c r="G46" s="63">
        <v>0.48559999999999998</v>
      </c>
      <c r="H46" s="32">
        <v>2.0830000000000002</v>
      </c>
      <c r="I46" s="32">
        <v>3.3479999999999999</v>
      </c>
      <c r="J46" s="23"/>
      <c r="K46" s="23"/>
      <c r="L46" s="23"/>
      <c r="M46" s="95"/>
    </row>
    <row r="47" spans="1:13" ht="15.75" thickBot="1">
      <c r="A47" s="92" t="s">
        <v>109</v>
      </c>
      <c r="B47" s="90"/>
      <c r="C47" s="90"/>
      <c r="D47" s="90"/>
      <c r="E47" s="90"/>
      <c r="F47" s="90"/>
      <c r="G47" s="91"/>
      <c r="H47" s="90"/>
      <c r="I47" s="90"/>
      <c r="J47" s="90"/>
      <c r="K47" s="90"/>
      <c r="L47" s="90"/>
      <c r="M47" s="90"/>
    </row>
    <row r="48" spans="1:13" ht="17.25" customHeight="1" thickBot="1">
      <c r="A48" s="27">
        <v>37</v>
      </c>
      <c r="B48" s="57" t="s">
        <v>21</v>
      </c>
      <c r="C48" s="22" t="s">
        <v>103</v>
      </c>
      <c r="D48" s="22" t="s">
        <v>110</v>
      </c>
      <c r="E48" s="94">
        <v>32.318235294117649</v>
      </c>
      <c r="F48" s="22" t="s">
        <v>20</v>
      </c>
      <c r="G48" s="53">
        <v>4.8880016366608858</v>
      </c>
      <c r="H48" s="24">
        <v>31.16</v>
      </c>
      <c r="I48" s="24">
        <v>50.72</v>
      </c>
      <c r="J48" s="22"/>
      <c r="K48" s="22"/>
      <c r="L48" s="22"/>
      <c r="M48" s="22"/>
    </row>
    <row r="49" spans="1:13" ht="15.75" thickBot="1">
      <c r="A49" s="92" t="s">
        <v>111</v>
      </c>
      <c r="B49" s="90"/>
      <c r="C49" s="90"/>
      <c r="D49" s="90"/>
      <c r="E49" s="90"/>
      <c r="F49" s="90"/>
      <c r="G49" s="91"/>
      <c r="H49" s="90"/>
      <c r="I49" s="90"/>
      <c r="J49" s="90"/>
      <c r="K49" s="90"/>
      <c r="L49" s="90"/>
      <c r="M49" s="90"/>
    </row>
    <row r="50" spans="1:13" ht="15.75" customHeight="1" thickBot="1">
      <c r="A50" s="130">
        <v>38</v>
      </c>
      <c r="B50" s="89" t="s">
        <v>112</v>
      </c>
      <c r="C50" s="23" t="s">
        <v>113</v>
      </c>
      <c r="D50" s="23" t="s">
        <v>22</v>
      </c>
      <c r="E50" s="23"/>
      <c r="F50" s="23"/>
      <c r="G50" s="50"/>
      <c r="H50" s="23"/>
      <c r="I50" s="23"/>
      <c r="J50" s="23"/>
      <c r="K50" s="23"/>
      <c r="L50" s="23"/>
      <c r="M50" s="23"/>
    </row>
    <row r="51" spans="1:13" ht="15.75" thickBot="1">
      <c r="A51" s="131"/>
      <c r="B51" s="88" t="s">
        <v>114</v>
      </c>
      <c r="C51" s="22"/>
      <c r="D51" s="22"/>
      <c r="E51" s="22">
        <v>9.7170000000000005</v>
      </c>
      <c r="F51" s="22" t="s">
        <v>20</v>
      </c>
      <c r="G51" s="49">
        <v>2.7519999999999998</v>
      </c>
      <c r="H51" s="22">
        <v>8.7859999999999996</v>
      </c>
      <c r="I51" s="76">
        <v>48.75</v>
      </c>
      <c r="J51" s="22"/>
      <c r="K51" s="22"/>
      <c r="L51" s="22"/>
      <c r="M51" s="22"/>
    </row>
    <row r="52" spans="1:13" ht="15.75" thickBot="1">
      <c r="A52" s="132"/>
      <c r="B52" s="89" t="s">
        <v>115</v>
      </c>
      <c r="C52" s="23"/>
      <c r="D52" s="23"/>
      <c r="E52" s="23">
        <v>8.3010000000000002</v>
      </c>
      <c r="F52" s="23" t="s">
        <v>20</v>
      </c>
      <c r="G52" s="50">
        <v>2.7469999999999999</v>
      </c>
      <c r="H52" s="23">
        <v>7.1029999999999998</v>
      </c>
      <c r="I52" s="74">
        <v>20.96</v>
      </c>
      <c r="J52" s="23"/>
      <c r="K52" s="23"/>
      <c r="L52" s="23"/>
      <c r="M52" s="23"/>
    </row>
    <row r="53" spans="1:13" ht="15.75" customHeight="1" thickBot="1">
      <c r="A53" s="127">
        <v>39</v>
      </c>
      <c r="B53" s="88" t="s">
        <v>116</v>
      </c>
      <c r="C53" s="22" t="s">
        <v>117</v>
      </c>
      <c r="D53" s="22" t="s">
        <v>118</v>
      </c>
      <c r="E53" s="22"/>
      <c r="F53" s="22"/>
      <c r="G53" s="49"/>
      <c r="H53" s="22"/>
      <c r="I53" s="22"/>
      <c r="J53" s="22"/>
      <c r="K53" s="22"/>
      <c r="L53" s="22"/>
      <c r="M53" s="22"/>
    </row>
    <row r="54" spans="1:13" ht="18.75" customHeight="1" thickBot="1">
      <c r="A54" s="128"/>
      <c r="B54" s="125" t="s">
        <v>119</v>
      </c>
      <c r="C54" s="23"/>
      <c r="D54" s="23"/>
      <c r="E54" s="23">
        <v>2.0139999999999998</v>
      </c>
      <c r="F54" s="23" t="s">
        <v>42</v>
      </c>
      <c r="G54" s="52">
        <v>101</v>
      </c>
      <c r="H54" s="23">
        <v>1.974</v>
      </c>
      <c r="I54" s="23">
        <v>2.4940000000000002</v>
      </c>
      <c r="J54" s="23">
        <v>1.992</v>
      </c>
      <c r="K54" s="23"/>
      <c r="L54" s="23"/>
      <c r="M54" s="23"/>
    </row>
    <row r="55" spans="1:13" ht="15.75" thickBot="1">
      <c r="A55" s="128"/>
      <c r="B55" s="126"/>
      <c r="C55" s="22"/>
      <c r="D55" s="22"/>
      <c r="E55" s="22">
        <v>500.1</v>
      </c>
      <c r="F55" s="22" t="s">
        <v>42</v>
      </c>
      <c r="G55" s="51">
        <v>704.9</v>
      </c>
      <c r="H55" s="22">
        <v>498.9</v>
      </c>
      <c r="I55" s="22">
        <v>501.4</v>
      </c>
      <c r="J55" s="22"/>
      <c r="K55" s="22"/>
      <c r="L55" s="22"/>
      <c r="M55" s="22"/>
    </row>
    <row r="56" spans="1:13" ht="15.75" customHeight="1" thickBot="1">
      <c r="A56" s="128"/>
      <c r="B56" s="133" t="s">
        <v>122</v>
      </c>
      <c r="C56" s="23"/>
      <c r="D56" s="23"/>
      <c r="E56" s="23">
        <v>1.994</v>
      </c>
      <c r="F56" s="23" t="s">
        <v>42</v>
      </c>
      <c r="G56" s="50">
        <v>5.73</v>
      </c>
      <c r="H56" s="23">
        <v>1.9810000000000001</v>
      </c>
      <c r="I56" s="77">
        <v>2.0099999999999998</v>
      </c>
      <c r="J56" s="23">
        <v>13.25</v>
      </c>
      <c r="K56" s="23"/>
      <c r="L56" s="23"/>
      <c r="M56" s="23"/>
    </row>
    <row r="57" spans="1:13" ht="15.75" thickBot="1">
      <c r="A57" s="129"/>
      <c r="B57" s="134"/>
      <c r="C57" s="22"/>
      <c r="D57" s="22"/>
      <c r="E57" s="51">
        <v>73.5</v>
      </c>
      <c r="F57" s="22" t="s">
        <v>42</v>
      </c>
      <c r="G57" s="51">
        <v>246.5</v>
      </c>
      <c r="H57" s="22">
        <v>73.3</v>
      </c>
      <c r="I57" s="22">
        <v>73.86</v>
      </c>
      <c r="J57" s="22"/>
      <c r="K57" s="22"/>
      <c r="L57" s="22"/>
      <c r="M57" s="22"/>
    </row>
    <row r="58" spans="1:13" ht="15.75" customHeight="1" thickBot="1">
      <c r="A58" s="130">
        <v>40</v>
      </c>
      <c r="B58" s="89" t="s">
        <v>23</v>
      </c>
      <c r="C58" s="23" t="s">
        <v>123</v>
      </c>
      <c r="D58" s="75" t="s">
        <v>124</v>
      </c>
      <c r="E58" s="23"/>
      <c r="F58" s="23"/>
      <c r="G58" s="50"/>
      <c r="H58" s="23"/>
      <c r="I58" s="23"/>
      <c r="J58" s="23"/>
      <c r="K58" s="23"/>
      <c r="L58" s="23"/>
      <c r="M58" s="23"/>
    </row>
    <row r="59" spans="1:13" ht="15.75" thickBot="1">
      <c r="A59" s="131"/>
      <c r="B59" s="88" t="s">
        <v>114</v>
      </c>
      <c r="C59" s="22"/>
      <c r="D59" s="22"/>
      <c r="E59" s="76">
        <v>94.37</v>
      </c>
      <c r="F59" s="22" t="s">
        <v>20</v>
      </c>
      <c r="G59" s="49">
        <v>4.8419999999999996</v>
      </c>
      <c r="H59" s="22">
        <v>89.43</v>
      </c>
      <c r="I59" s="22">
        <v>124.8</v>
      </c>
      <c r="J59" s="22"/>
      <c r="K59" s="22"/>
      <c r="L59" s="22"/>
      <c r="M59" s="22"/>
    </row>
    <row r="60" spans="1:13" ht="15.75" thickBot="1">
      <c r="A60" s="132"/>
      <c r="B60" s="89" t="s">
        <v>115</v>
      </c>
      <c r="C60" s="23"/>
      <c r="D60" s="23"/>
      <c r="E60" s="74">
        <v>97.42</v>
      </c>
      <c r="F60" s="23" t="s">
        <v>20</v>
      </c>
      <c r="G60" s="50">
        <v>6.9260000000000002</v>
      </c>
      <c r="H60" s="23">
        <v>92.43</v>
      </c>
      <c r="I60" s="23">
        <v>127.9</v>
      </c>
      <c r="J60" s="23"/>
      <c r="K60" s="23"/>
      <c r="L60" s="23"/>
      <c r="M60" s="23"/>
    </row>
    <row r="61" spans="1:13" ht="15.75" thickBot="1">
      <c r="A61" s="92" t="s">
        <v>125</v>
      </c>
      <c r="B61" s="90"/>
      <c r="C61" s="90"/>
      <c r="D61" s="90"/>
      <c r="E61" s="90"/>
      <c r="F61" s="90"/>
      <c r="G61" s="91"/>
      <c r="H61" s="90"/>
      <c r="I61" s="90"/>
      <c r="J61" s="90"/>
      <c r="K61" s="90"/>
      <c r="L61" s="90"/>
      <c r="M61" s="90"/>
    </row>
    <row r="62" spans="1:13" ht="15.75" thickBot="1">
      <c r="A62" s="31">
        <v>41</v>
      </c>
      <c r="B62" s="89" t="s">
        <v>24</v>
      </c>
      <c r="C62" s="23" t="s">
        <v>126</v>
      </c>
      <c r="D62" s="23" t="s">
        <v>127</v>
      </c>
      <c r="E62" s="32">
        <v>389.6</v>
      </c>
      <c r="F62" s="23" t="s">
        <v>20</v>
      </c>
      <c r="G62" s="68">
        <v>27.203430000000001</v>
      </c>
      <c r="H62" s="32">
        <v>320.8</v>
      </c>
      <c r="I62" s="32">
        <v>440.2</v>
      </c>
      <c r="J62" s="23"/>
      <c r="K62" s="23"/>
      <c r="L62" s="23"/>
      <c r="M62" s="23"/>
    </row>
    <row r="63" spans="1:13" ht="15.75" customHeight="1" thickBot="1">
      <c r="A63" s="127">
        <v>42</v>
      </c>
      <c r="B63" s="88" t="s">
        <v>249</v>
      </c>
      <c r="C63" s="22" t="s">
        <v>129</v>
      </c>
      <c r="D63" s="22" t="s">
        <v>25</v>
      </c>
      <c r="E63" s="25"/>
      <c r="F63" s="28"/>
      <c r="G63" s="54"/>
      <c r="H63" s="25"/>
      <c r="I63" s="25"/>
      <c r="J63" s="22"/>
      <c r="K63" s="22"/>
      <c r="L63" s="22"/>
      <c r="M63" s="22"/>
    </row>
    <row r="64" spans="1:13" ht="15.75" thickBot="1">
      <c r="A64" s="128"/>
      <c r="B64" s="89" t="s">
        <v>128</v>
      </c>
      <c r="C64" s="23"/>
      <c r="D64" s="23"/>
      <c r="E64" s="32">
        <v>194.4</v>
      </c>
      <c r="F64" s="26" t="s">
        <v>42</v>
      </c>
      <c r="G64" s="63">
        <v>4.8347810000000004</v>
      </c>
      <c r="H64" s="32">
        <v>184.2</v>
      </c>
      <c r="I64" s="32">
        <v>200.1</v>
      </c>
      <c r="J64" s="23"/>
      <c r="K64" s="23"/>
      <c r="L64" s="23"/>
      <c r="M64" s="23"/>
    </row>
    <row r="65" spans="1:13" ht="15.75" thickBot="1">
      <c r="A65" s="129"/>
      <c r="B65" s="88" t="s">
        <v>250</v>
      </c>
      <c r="C65" s="25"/>
      <c r="D65" s="22"/>
      <c r="E65" s="25">
        <v>95.97</v>
      </c>
      <c r="F65" s="28" t="s">
        <v>42</v>
      </c>
      <c r="G65" s="54">
        <v>3.7322220000000002</v>
      </c>
      <c r="H65" s="25">
        <v>90.22</v>
      </c>
      <c r="I65" s="25">
        <v>100.6</v>
      </c>
      <c r="J65" s="22"/>
      <c r="K65" s="22"/>
      <c r="L65" s="22"/>
      <c r="M65" s="22"/>
    </row>
    <row r="66" spans="1:13" ht="15.75" thickBot="1">
      <c r="A66" s="92" t="s">
        <v>132</v>
      </c>
      <c r="B66" s="90"/>
      <c r="C66" s="90"/>
      <c r="D66" s="90"/>
      <c r="E66" s="90"/>
      <c r="F66" s="90"/>
      <c r="G66" s="91"/>
      <c r="H66" s="90"/>
      <c r="I66" s="90"/>
      <c r="J66" s="90"/>
      <c r="K66" s="90"/>
      <c r="L66" s="90"/>
      <c r="M66" s="90"/>
    </row>
    <row r="67" spans="1:13" ht="15.75" thickBot="1">
      <c r="A67" s="27">
        <v>43</v>
      </c>
      <c r="B67" s="88" t="s">
        <v>26</v>
      </c>
      <c r="C67" s="22" t="s">
        <v>133</v>
      </c>
      <c r="D67" s="22" t="s">
        <v>27</v>
      </c>
      <c r="E67" s="25">
        <v>22.92</v>
      </c>
      <c r="F67" s="28" t="s">
        <v>42</v>
      </c>
      <c r="G67" s="54">
        <v>2.5139999999999999E-2</v>
      </c>
      <c r="H67" s="25">
        <v>22.89</v>
      </c>
      <c r="I67" s="25">
        <v>22.98</v>
      </c>
      <c r="J67" s="22"/>
      <c r="K67" s="22"/>
      <c r="L67" s="22"/>
      <c r="M67" s="22"/>
    </row>
    <row r="68" spans="1:13" ht="15.75" customHeight="1" thickBot="1">
      <c r="A68" s="31">
        <v>44</v>
      </c>
      <c r="B68" s="89" t="s">
        <v>29</v>
      </c>
      <c r="C68" s="23" t="s">
        <v>134</v>
      </c>
      <c r="D68" s="23" t="s">
        <v>135</v>
      </c>
      <c r="E68" s="32">
        <v>395.6</v>
      </c>
      <c r="F68" s="26" t="s">
        <v>42</v>
      </c>
      <c r="G68" s="63">
        <v>0.1167</v>
      </c>
      <c r="H68" s="32">
        <v>395.4</v>
      </c>
      <c r="I68" s="32">
        <v>395.8</v>
      </c>
      <c r="J68" s="23"/>
      <c r="K68" s="23"/>
      <c r="L68" s="23"/>
      <c r="M68" s="23"/>
    </row>
    <row r="69" spans="1:13" ht="15.75" customHeight="1" thickBot="1">
      <c r="A69" s="27">
        <v>45</v>
      </c>
      <c r="B69" s="88" t="s">
        <v>30</v>
      </c>
      <c r="C69" s="22" t="s">
        <v>134</v>
      </c>
      <c r="D69" s="22" t="s">
        <v>135</v>
      </c>
      <c r="E69" s="22">
        <v>40.89</v>
      </c>
      <c r="F69" s="22" t="s">
        <v>20</v>
      </c>
      <c r="G69" s="49">
        <v>0.47249999999999998</v>
      </c>
      <c r="H69" s="22">
        <v>40.47</v>
      </c>
      <c r="I69" s="22">
        <v>43.67</v>
      </c>
      <c r="J69" s="22"/>
      <c r="K69" s="22"/>
      <c r="L69" s="22"/>
      <c r="M69" s="22"/>
    </row>
  </sheetData>
  <mergeCells count="16">
    <mergeCell ref="A4:A6"/>
    <mergeCell ref="J1:J2"/>
    <mergeCell ref="K1:K2"/>
    <mergeCell ref="L1:L2"/>
    <mergeCell ref="M1:M2"/>
    <mergeCell ref="A1:A2"/>
    <mergeCell ref="C1:C2"/>
    <mergeCell ref="D1:D2"/>
    <mergeCell ref="B1:B2"/>
    <mergeCell ref="E1:I1"/>
    <mergeCell ref="B54:B55"/>
    <mergeCell ref="A63:A65"/>
    <mergeCell ref="A53:A57"/>
    <mergeCell ref="A58:A60"/>
    <mergeCell ref="A50:A52"/>
    <mergeCell ref="B56:B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0EB8-B229-408F-9780-6D7A59223673}">
  <dimension ref="B1:S86"/>
  <sheetViews>
    <sheetView zoomScaleNormal="85" workbookViewId="0">
      <pane ySplit="2" topLeftCell="A3" activePane="bottomLeft" state="frozen"/>
      <selection pane="bottomLeft" activeCell="O26" sqref="O26"/>
    </sheetView>
  </sheetViews>
  <sheetFormatPr defaultRowHeight="15"/>
  <cols>
    <col min="3" max="3" width="28.85546875" customWidth="1"/>
    <col min="4" max="4" width="15.5703125" customWidth="1"/>
    <col min="5" max="5" width="10.5703125" customWidth="1"/>
    <col min="6" max="6" width="11.5703125" customWidth="1"/>
    <col min="7" max="7" width="8.5703125" customWidth="1"/>
    <col min="8" max="8" width="5" customWidth="1"/>
    <col min="9" max="9" width="10.7109375" style="8" customWidth="1"/>
    <col min="12" max="12" width="11.85546875" customWidth="1"/>
    <col min="15" max="16" width="10.140625" customWidth="1"/>
    <col min="17" max="17" width="11" customWidth="1"/>
    <col min="19" max="19" width="14.5703125" customWidth="1"/>
  </cols>
  <sheetData>
    <row r="1" spans="2:18" ht="22.5" customHeight="1">
      <c r="B1" s="139" t="s">
        <v>0</v>
      </c>
      <c r="C1" s="135" t="s">
        <v>1</v>
      </c>
      <c r="D1" s="135"/>
      <c r="E1" s="135" t="s">
        <v>2</v>
      </c>
      <c r="F1" s="135" t="s">
        <v>3</v>
      </c>
      <c r="G1" s="135" t="s">
        <v>4</v>
      </c>
      <c r="H1" s="135" t="s">
        <v>31</v>
      </c>
      <c r="I1" s="78" t="s">
        <v>32</v>
      </c>
      <c r="J1" s="135" t="s">
        <v>33</v>
      </c>
      <c r="K1" s="135" t="s">
        <v>34</v>
      </c>
      <c r="L1" s="135" t="s">
        <v>35</v>
      </c>
      <c r="M1" s="135" t="s">
        <v>36</v>
      </c>
      <c r="N1" s="135" t="s">
        <v>31</v>
      </c>
      <c r="O1" s="137" t="s">
        <v>37</v>
      </c>
      <c r="Q1" s="93"/>
    </row>
    <row r="2" spans="2:18" ht="18" customHeight="1">
      <c r="B2" s="140"/>
      <c r="C2" s="136"/>
      <c r="D2" s="136"/>
      <c r="E2" s="136"/>
      <c r="F2" s="136"/>
      <c r="G2" s="136"/>
      <c r="H2" s="136"/>
      <c r="I2" s="79" t="s">
        <v>38</v>
      </c>
      <c r="J2" s="136"/>
      <c r="K2" s="136"/>
      <c r="L2" s="136"/>
      <c r="M2" s="136"/>
      <c r="N2" s="136"/>
      <c r="O2" s="138"/>
      <c r="Q2" s="93"/>
    </row>
    <row r="3" spans="2:18" ht="15.75" customHeight="1" thickBot="1">
      <c r="B3" s="71" t="s">
        <v>39</v>
      </c>
      <c r="C3" s="70"/>
      <c r="D3" s="70"/>
      <c r="E3" s="70"/>
      <c r="F3" s="70"/>
      <c r="G3" s="70"/>
      <c r="H3" s="70"/>
      <c r="I3" s="80"/>
      <c r="J3" s="70"/>
      <c r="K3" s="70"/>
      <c r="L3" s="70"/>
      <c r="M3" s="70"/>
      <c r="N3" s="70"/>
      <c r="O3" s="70"/>
      <c r="Q3" s="84"/>
    </row>
    <row r="4" spans="2:18" ht="18.75" customHeight="1" thickBot="1">
      <c r="B4" s="130">
        <v>1</v>
      </c>
      <c r="C4" s="144" t="s">
        <v>5</v>
      </c>
      <c r="D4" s="145"/>
      <c r="E4" s="23" t="s">
        <v>40</v>
      </c>
      <c r="F4" s="23" t="s">
        <v>41</v>
      </c>
      <c r="G4" s="23"/>
      <c r="H4" s="23"/>
      <c r="I4" s="50"/>
      <c r="J4" s="23"/>
      <c r="K4" s="23"/>
      <c r="L4" s="23"/>
      <c r="M4" s="23"/>
      <c r="N4" s="23"/>
      <c r="O4" s="23"/>
      <c r="Q4" s="85"/>
    </row>
    <row r="5" spans="2:18" ht="15.75" thickBot="1">
      <c r="B5" s="131"/>
      <c r="C5" s="142" t="s">
        <v>6</v>
      </c>
      <c r="D5" s="143"/>
      <c r="E5" s="22"/>
      <c r="F5" s="22"/>
      <c r="G5" s="64">
        <v>53.881000000000007</v>
      </c>
      <c r="H5" s="28" t="s">
        <v>42</v>
      </c>
      <c r="I5" s="54">
        <v>5.5682481785367441</v>
      </c>
      <c r="J5" s="25">
        <v>44.73</v>
      </c>
      <c r="K5" s="25">
        <v>61.23</v>
      </c>
      <c r="L5" s="22"/>
      <c r="M5" s="22"/>
      <c r="N5" s="22"/>
      <c r="O5" s="22"/>
      <c r="Q5" s="85"/>
    </row>
    <row r="6" spans="2:18" ht="15.75" thickBot="1">
      <c r="B6" s="132"/>
      <c r="C6" s="144" t="s">
        <v>7</v>
      </c>
      <c r="D6" s="145"/>
      <c r="E6" s="23"/>
      <c r="F6" s="23"/>
      <c r="G6" s="62">
        <v>37.966881250000007</v>
      </c>
      <c r="H6" s="26" t="s">
        <v>42</v>
      </c>
      <c r="I6" s="63">
        <v>5.5312644101616195</v>
      </c>
      <c r="J6" s="62">
        <v>30.259899999999998</v>
      </c>
      <c r="K6" s="62">
        <v>51.003999999999998</v>
      </c>
      <c r="L6" s="23"/>
      <c r="M6" s="23"/>
      <c r="N6" s="23"/>
      <c r="O6" s="23" t="s">
        <v>43</v>
      </c>
      <c r="Q6" s="85"/>
    </row>
    <row r="7" spans="2:18" ht="18" customHeight="1" thickBot="1">
      <c r="B7" s="27">
        <v>2</v>
      </c>
      <c r="C7" s="142" t="s">
        <v>8</v>
      </c>
      <c r="D7" s="143"/>
      <c r="E7" s="22" t="s">
        <v>40</v>
      </c>
      <c r="F7" s="22" t="s">
        <v>41</v>
      </c>
      <c r="G7" s="64">
        <v>38.095312500000006</v>
      </c>
      <c r="H7" s="28" t="s">
        <v>42</v>
      </c>
      <c r="I7" s="54">
        <v>5.5355490355519255</v>
      </c>
      <c r="J7" s="25">
        <v>30.39</v>
      </c>
      <c r="K7" s="25">
        <v>51.12</v>
      </c>
      <c r="L7" s="22"/>
      <c r="M7" s="22"/>
      <c r="N7" s="22"/>
      <c r="O7" s="22"/>
      <c r="Q7" s="85"/>
    </row>
    <row r="8" spans="2:18" ht="20.25" customHeight="1" thickBot="1">
      <c r="B8" s="31">
        <v>3</v>
      </c>
      <c r="C8" s="144" t="s">
        <v>9</v>
      </c>
      <c r="D8" s="145"/>
      <c r="E8" s="23" t="s">
        <v>40</v>
      </c>
      <c r="F8" s="23" t="s">
        <v>41</v>
      </c>
      <c r="G8" s="65">
        <v>38.863231249999998</v>
      </c>
      <c r="H8" s="23" t="s">
        <v>42</v>
      </c>
      <c r="I8" s="61">
        <v>5.5363982940138721</v>
      </c>
      <c r="J8" s="65">
        <v>31.17</v>
      </c>
      <c r="K8" s="65">
        <v>51.902799999999999</v>
      </c>
      <c r="L8" s="23"/>
      <c r="M8" s="23"/>
      <c r="N8" s="23"/>
      <c r="O8" s="23"/>
      <c r="Q8" s="85"/>
    </row>
    <row r="9" spans="2:18" ht="21" customHeight="1" thickBot="1">
      <c r="B9" s="27">
        <v>4</v>
      </c>
      <c r="C9" s="142" t="s">
        <v>44</v>
      </c>
      <c r="D9" s="143"/>
      <c r="E9" s="22" t="s">
        <v>40</v>
      </c>
      <c r="F9" s="22" t="s">
        <v>41</v>
      </c>
      <c r="G9" s="66">
        <v>0.89634999999999998</v>
      </c>
      <c r="H9" s="22" t="s">
        <v>42</v>
      </c>
      <c r="I9" s="54">
        <v>2.760586660417929E-2</v>
      </c>
      <c r="J9" s="66">
        <v>0.82709999999999995</v>
      </c>
      <c r="K9" s="66">
        <v>0.94879999999999987</v>
      </c>
      <c r="L9" s="22"/>
      <c r="M9" s="22"/>
      <c r="N9" s="22"/>
      <c r="O9" s="22"/>
      <c r="Q9" s="85"/>
    </row>
    <row r="10" spans="2:18" ht="19.5" customHeight="1" thickBot="1">
      <c r="B10" s="31">
        <v>5</v>
      </c>
      <c r="C10" s="144" t="s">
        <v>10</v>
      </c>
      <c r="D10" s="145"/>
      <c r="E10" s="23" t="s">
        <v>40</v>
      </c>
      <c r="F10" s="23" t="s">
        <v>41</v>
      </c>
      <c r="G10" s="67">
        <v>0.76791875000000009</v>
      </c>
      <c r="H10" s="23" t="s">
        <v>42</v>
      </c>
      <c r="I10" s="61">
        <v>3.0233323182296074E-2</v>
      </c>
      <c r="J10" s="67">
        <v>0.7198</v>
      </c>
      <c r="K10" s="67">
        <v>0.81179999999999997</v>
      </c>
      <c r="L10" s="23"/>
      <c r="M10" s="23"/>
      <c r="N10" s="23"/>
      <c r="O10" s="23"/>
      <c r="Q10" s="85"/>
    </row>
    <row r="11" spans="2:18" ht="15.75" customHeight="1" thickBot="1">
      <c r="B11" s="92" t="s">
        <v>11</v>
      </c>
      <c r="C11" s="90"/>
      <c r="D11" s="90"/>
      <c r="E11" s="90"/>
      <c r="F11" s="90"/>
      <c r="G11" s="90"/>
      <c r="H11" s="90"/>
      <c r="I11" s="91"/>
      <c r="J11" s="90"/>
      <c r="K11" s="90"/>
      <c r="L11" s="90"/>
      <c r="M11" s="90"/>
      <c r="N11" s="90"/>
      <c r="O11" s="90"/>
      <c r="Q11" s="84"/>
    </row>
    <row r="12" spans="2:18" ht="15.75" thickBot="1">
      <c r="B12" s="31">
        <v>6</v>
      </c>
      <c r="C12" s="144" t="s">
        <v>11</v>
      </c>
      <c r="D12" s="145"/>
      <c r="E12" s="23" t="s">
        <v>45</v>
      </c>
      <c r="F12" s="23" t="s">
        <v>46</v>
      </c>
      <c r="G12" s="23">
        <v>1.081</v>
      </c>
      <c r="H12" s="23" t="s">
        <v>42</v>
      </c>
      <c r="I12" s="50">
        <v>0.12989999999999999</v>
      </c>
      <c r="J12" s="23">
        <v>0.55279999999999996</v>
      </c>
      <c r="K12" s="23">
        <v>1.8180000000000001</v>
      </c>
      <c r="L12" s="23"/>
      <c r="M12" s="23"/>
      <c r="N12" s="23"/>
      <c r="O12" s="23"/>
      <c r="Q12" s="85"/>
      <c r="R12" s="55"/>
    </row>
    <row r="13" spans="2:18" ht="15.75" thickBot="1">
      <c r="B13" s="27">
        <v>7</v>
      </c>
      <c r="C13" s="142" t="s">
        <v>47</v>
      </c>
      <c r="D13" s="143"/>
      <c r="E13" s="22" t="s">
        <v>48</v>
      </c>
      <c r="F13" s="22" t="s">
        <v>49</v>
      </c>
      <c r="G13" s="22">
        <v>679.8</v>
      </c>
      <c r="H13" s="22" t="s">
        <v>50</v>
      </c>
      <c r="I13" s="48">
        <v>34.33</v>
      </c>
      <c r="J13" s="22">
        <v>654.20000000000005</v>
      </c>
      <c r="K13" s="22">
        <v>804.1</v>
      </c>
      <c r="L13" s="22"/>
      <c r="M13" s="22"/>
      <c r="N13" s="22"/>
      <c r="O13" s="22"/>
      <c r="Q13" s="85"/>
    </row>
    <row r="14" spans="2:18" ht="15.75" thickBot="1">
      <c r="B14" s="31">
        <v>8</v>
      </c>
      <c r="C14" s="144" t="s">
        <v>12</v>
      </c>
      <c r="D14" s="145"/>
      <c r="E14" s="23" t="s">
        <v>51</v>
      </c>
      <c r="F14" s="23" t="s">
        <v>52</v>
      </c>
      <c r="G14" s="23">
        <v>512.29999999999995</v>
      </c>
      <c r="H14" s="23" t="s">
        <v>42</v>
      </c>
      <c r="I14" s="50">
        <v>0.23580000000000001</v>
      </c>
      <c r="J14" s="23">
        <v>512.1</v>
      </c>
      <c r="K14" s="23">
        <v>512.79999999999995</v>
      </c>
      <c r="L14" s="23"/>
      <c r="M14" s="23"/>
      <c r="N14" s="23"/>
      <c r="O14" s="23"/>
      <c r="Q14" s="85"/>
    </row>
    <row r="15" spans="2:18" ht="15.75" thickBot="1">
      <c r="B15" s="27">
        <v>9</v>
      </c>
      <c r="C15" s="142" t="s">
        <v>237</v>
      </c>
      <c r="D15" s="143"/>
      <c r="E15" s="22" t="s">
        <v>53</v>
      </c>
      <c r="F15" s="22" t="s">
        <v>54</v>
      </c>
      <c r="G15" s="51">
        <v>84.8</v>
      </c>
      <c r="H15" s="22" t="s">
        <v>50</v>
      </c>
      <c r="I15" s="48">
        <v>33.67</v>
      </c>
      <c r="J15" s="48">
        <v>76.989999999999995</v>
      </c>
      <c r="K15" s="22">
        <v>144</v>
      </c>
      <c r="L15" s="22">
        <v>9.9939999999999998</v>
      </c>
      <c r="M15" s="22"/>
      <c r="N15" s="22"/>
      <c r="O15" s="22"/>
      <c r="Q15" s="85"/>
    </row>
    <row r="16" spans="2:18" ht="15.75" thickBot="1">
      <c r="B16" s="92" t="s">
        <v>55</v>
      </c>
      <c r="C16" s="90"/>
      <c r="D16" s="90"/>
      <c r="E16" s="90"/>
      <c r="F16" s="90"/>
      <c r="G16" s="90"/>
      <c r="H16" s="90"/>
      <c r="I16" s="91"/>
      <c r="J16" s="90"/>
      <c r="K16" s="90"/>
      <c r="L16" s="90"/>
      <c r="M16" s="90"/>
      <c r="N16" s="90"/>
      <c r="O16" s="90"/>
      <c r="Q16" s="86"/>
    </row>
    <row r="17" spans="2:18" ht="15.75" thickBot="1">
      <c r="B17" s="27">
        <v>10</v>
      </c>
      <c r="C17" s="142" t="s">
        <v>56</v>
      </c>
      <c r="D17" s="143"/>
      <c r="E17" s="22" t="s">
        <v>57</v>
      </c>
      <c r="F17" s="22" t="s">
        <v>58</v>
      </c>
      <c r="G17" s="22">
        <v>1.0620000000000001</v>
      </c>
      <c r="H17" s="22" t="s">
        <v>50</v>
      </c>
      <c r="I17" s="49" t="s">
        <v>59</v>
      </c>
      <c r="J17" s="22">
        <v>1.0609999999999999</v>
      </c>
      <c r="K17" s="22">
        <v>1.0629999999999999</v>
      </c>
      <c r="L17" s="22">
        <v>1001</v>
      </c>
      <c r="M17" s="22">
        <v>0.999</v>
      </c>
      <c r="N17" s="22" t="s">
        <v>42</v>
      </c>
      <c r="O17" s="97">
        <v>1.063062E-3</v>
      </c>
      <c r="Q17" s="85"/>
    </row>
    <row r="18" spans="2:18" ht="15.75" thickBot="1">
      <c r="B18" s="31">
        <v>11</v>
      </c>
      <c r="C18" s="144" t="s">
        <v>60</v>
      </c>
      <c r="D18" s="145"/>
      <c r="E18" s="23" t="s">
        <v>61</v>
      </c>
      <c r="F18" s="23" t="s">
        <v>62</v>
      </c>
      <c r="G18" s="23">
        <v>1.621</v>
      </c>
      <c r="H18" s="23" t="s">
        <v>50</v>
      </c>
      <c r="I18" s="50" t="s">
        <v>59</v>
      </c>
      <c r="J18" s="23">
        <v>1.6120000000000001</v>
      </c>
      <c r="K18" s="23">
        <v>1.639</v>
      </c>
      <c r="L18" s="23"/>
      <c r="M18" s="23"/>
      <c r="N18" s="23"/>
      <c r="O18" s="23"/>
      <c r="Q18" s="85"/>
    </row>
    <row r="19" spans="2:18" ht="15.75" customHeight="1" thickBot="1">
      <c r="B19" s="27">
        <v>12</v>
      </c>
      <c r="C19" s="142" t="s">
        <v>63</v>
      </c>
      <c r="D19" s="143"/>
      <c r="E19" s="22">
        <v>5354</v>
      </c>
      <c r="F19" s="22" t="s">
        <v>64</v>
      </c>
      <c r="G19" s="22">
        <v>47.23</v>
      </c>
      <c r="H19" s="22" t="s">
        <v>50</v>
      </c>
      <c r="I19" s="49">
        <v>9.9220000000000006</v>
      </c>
      <c r="J19" s="22">
        <v>3.198</v>
      </c>
      <c r="K19" s="22">
        <v>86.61</v>
      </c>
      <c r="L19" s="22"/>
      <c r="M19" s="22"/>
      <c r="N19" s="22"/>
      <c r="O19" s="22"/>
      <c r="Q19" s="85"/>
    </row>
    <row r="20" spans="2:18" ht="15.75" thickBot="1">
      <c r="B20" s="31">
        <v>13</v>
      </c>
      <c r="C20" s="144" t="s">
        <v>65</v>
      </c>
      <c r="D20" s="145"/>
      <c r="E20" s="23" t="s">
        <v>66</v>
      </c>
      <c r="F20" s="23" t="s">
        <v>67</v>
      </c>
      <c r="G20" s="77">
        <v>7.49</v>
      </c>
      <c r="H20" s="23" t="s">
        <v>50</v>
      </c>
      <c r="I20" s="50">
        <v>0.88039999999999996</v>
      </c>
      <c r="J20" s="77">
        <v>0.99390000000000001</v>
      </c>
      <c r="K20" s="74">
        <v>8.0370000000000008</v>
      </c>
      <c r="L20" s="23"/>
      <c r="M20" s="101"/>
      <c r="N20" s="23"/>
      <c r="O20" s="23"/>
      <c r="Q20" s="85"/>
      <c r="R20" s="56"/>
    </row>
    <row r="21" spans="2:18" ht="15.75" thickBot="1">
      <c r="B21" s="27">
        <v>14</v>
      </c>
      <c r="C21" s="142" t="s">
        <v>68</v>
      </c>
      <c r="D21" s="143"/>
      <c r="E21" s="22" t="s">
        <v>69</v>
      </c>
      <c r="F21" s="22" t="s">
        <v>70</v>
      </c>
      <c r="G21" s="22"/>
      <c r="H21" s="22"/>
      <c r="I21" s="49"/>
      <c r="J21" s="22"/>
      <c r="K21" s="22"/>
      <c r="L21" s="22"/>
      <c r="M21" s="22"/>
      <c r="N21" s="22"/>
      <c r="O21" s="97">
        <v>5.4800000000000001E-2</v>
      </c>
      <c r="Q21" s="85"/>
    </row>
    <row r="22" spans="2:18" ht="15.75" thickBot="1">
      <c r="B22" s="31">
        <v>15</v>
      </c>
      <c r="C22" s="144" t="s">
        <v>71</v>
      </c>
      <c r="D22" s="145"/>
      <c r="E22" s="23" t="s">
        <v>72</v>
      </c>
      <c r="F22" s="34" t="s">
        <v>73</v>
      </c>
      <c r="G22" s="23"/>
      <c r="H22" s="23"/>
      <c r="I22" s="50"/>
      <c r="J22" s="23"/>
      <c r="K22" s="23"/>
      <c r="L22" s="23"/>
      <c r="M22" s="47"/>
      <c r="N22" s="23"/>
      <c r="O22" s="47"/>
      <c r="Q22" s="85"/>
    </row>
    <row r="23" spans="2:18" ht="15.75" thickBot="1">
      <c r="B23" s="27"/>
      <c r="C23" s="142" t="s">
        <v>6</v>
      </c>
      <c r="D23" s="143"/>
      <c r="E23" s="22"/>
      <c r="F23" s="22"/>
      <c r="G23" s="22">
        <v>32.42</v>
      </c>
      <c r="H23" s="22" t="s">
        <v>20</v>
      </c>
      <c r="I23" s="49">
        <v>2.4049999999999998</v>
      </c>
      <c r="J23" s="22">
        <v>31.04</v>
      </c>
      <c r="K23" s="22">
        <v>47.94</v>
      </c>
      <c r="L23" s="22">
        <v>2003</v>
      </c>
      <c r="M23" s="24">
        <v>499.9</v>
      </c>
      <c r="N23" s="22" t="s">
        <v>20</v>
      </c>
      <c r="O23" s="97">
        <v>6.4937259999999997E-2</v>
      </c>
    </row>
    <row r="24" spans="2:18" ht="15.75" thickBot="1">
      <c r="B24" s="31"/>
      <c r="C24" s="144" t="s">
        <v>7</v>
      </c>
      <c r="D24" s="145"/>
      <c r="E24" s="23"/>
      <c r="F24" s="23"/>
      <c r="G24" s="23">
        <v>31.84</v>
      </c>
      <c r="H24" s="23" t="s">
        <v>20</v>
      </c>
      <c r="I24" s="50">
        <v>2.2770000000000001</v>
      </c>
      <c r="J24" s="23">
        <v>29.69</v>
      </c>
      <c r="K24" s="23">
        <v>45.26</v>
      </c>
      <c r="L24" s="23">
        <v>2003</v>
      </c>
      <c r="M24" s="32">
        <v>499.2</v>
      </c>
      <c r="N24" s="23" t="s">
        <v>20</v>
      </c>
      <c r="O24" s="96">
        <v>6.3775520000000002E-2</v>
      </c>
    </row>
    <row r="25" spans="2:18" ht="15.75" thickBot="1">
      <c r="B25" s="27">
        <v>16</v>
      </c>
      <c r="C25" s="142" t="s">
        <v>74</v>
      </c>
      <c r="D25" s="143"/>
      <c r="E25" s="22" t="s">
        <v>75</v>
      </c>
      <c r="F25" s="22" t="s">
        <v>76</v>
      </c>
      <c r="G25" s="22">
        <v>2.4329999999999998</v>
      </c>
      <c r="H25" s="22" t="s">
        <v>20</v>
      </c>
      <c r="I25" s="51">
        <v>824.6</v>
      </c>
      <c r="J25" s="22">
        <v>2.4319999999999999</v>
      </c>
      <c r="K25" s="22">
        <v>2.4350000000000001</v>
      </c>
      <c r="L25" s="22">
        <v>9.9890000000000008</v>
      </c>
      <c r="M25" s="69">
        <v>100.11</v>
      </c>
      <c r="N25" s="24" t="s">
        <v>42</v>
      </c>
      <c r="O25" s="97">
        <v>2.4303236999999999E-5</v>
      </c>
    </row>
    <row r="26" spans="2:18" ht="15.75" thickBot="1">
      <c r="B26" s="31">
        <v>17</v>
      </c>
      <c r="C26" s="144" t="s">
        <v>77</v>
      </c>
      <c r="D26" s="145"/>
      <c r="E26" s="23" t="s">
        <v>78</v>
      </c>
      <c r="F26" s="23" t="s">
        <v>79</v>
      </c>
      <c r="G26" s="23">
        <v>4.9059999999999997</v>
      </c>
      <c r="H26" s="23" t="s">
        <v>20</v>
      </c>
      <c r="I26" s="50">
        <v>0.1079</v>
      </c>
      <c r="J26" s="23">
        <v>4.4260000000000002</v>
      </c>
      <c r="K26" s="23">
        <v>5.2389999999999999</v>
      </c>
      <c r="L26" s="23"/>
      <c r="M26" s="23"/>
      <c r="N26" s="23"/>
      <c r="O26" s="96">
        <v>1.7080000000000001E-2</v>
      </c>
    </row>
    <row r="27" spans="2:18" ht="15.75" thickBot="1">
      <c r="B27" s="27">
        <v>18</v>
      </c>
      <c r="C27" s="142" t="s">
        <v>80</v>
      </c>
      <c r="D27" s="143"/>
      <c r="E27" s="22" t="s">
        <v>81</v>
      </c>
      <c r="F27" s="22" t="s">
        <v>82</v>
      </c>
      <c r="G27" s="22">
        <v>3.2469999999999999</v>
      </c>
      <c r="H27" s="22" t="s">
        <v>20</v>
      </c>
      <c r="I27" s="48">
        <v>22.31</v>
      </c>
      <c r="J27" s="22">
        <v>3.181</v>
      </c>
      <c r="K27" s="22">
        <v>3.3079999999999998</v>
      </c>
      <c r="L27" s="22">
        <v>100.3</v>
      </c>
      <c r="M27" s="24">
        <v>9.9719999999999995</v>
      </c>
      <c r="N27" s="24" t="s">
        <v>42</v>
      </c>
      <c r="O27" s="97">
        <v>3.2567409999999995E-4</v>
      </c>
    </row>
    <row r="28" spans="2:18" ht="15.75" thickBot="1">
      <c r="B28" s="31">
        <v>19</v>
      </c>
      <c r="C28" s="144" t="s">
        <v>153</v>
      </c>
      <c r="D28" s="145"/>
      <c r="E28" s="23" t="s">
        <v>161</v>
      </c>
      <c r="F28" s="23" t="s">
        <v>162</v>
      </c>
      <c r="G28" s="77">
        <v>4.63</v>
      </c>
      <c r="H28" s="23" t="s">
        <v>20</v>
      </c>
      <c r="I28" s="50">
        <v>0.70909999999999995</v>
      </c>
      <c r="J28" s="23">
        <v>3.8690000000000002</v>
      </c>
      <c r="K28" s="23">
        <v>9.0489999999999995</v>
      </c>
      <c r="L28" s="23"/>
      <c r="M28" s="23"/>
      <c r="N28" s="23"/>
      <c r="O28" s="23"/>
    </row>
    <row r="29" spans="2:18" ht="15.75" customHeight="1" thickBot="1">
      <c r="B29" s="27">
        <v>20</v>
      </c>
      <c r="C29" s="142" t="s">
        <v>240</v>
      </c>
      <c r="D29" s="143"/>
      <c r="E29" s="22"/>
      <c r="F29" s="22"/>
      <c r="G29" s="22"/>
      <c r="H29" s="22"/>
      <c r="I29" s="49"/>
      <c r="J29" s="22"/>
      <c r="K29" s="22"/>
      <c r="L29" s="22"/>
      <c r="M29" s="22"/>
      <c r="N29" s="22"/>
      <c r="O29" s="43">
        <v>8.3499999999999998E-3</v>
      </c>
      <c r="Q29" s="85"/>
    </row>
    <row r="30" spans="2:18" ht="19.5" customHeight="1" thickBot="1">
      <c r="B30" s="82">
        <v>21</v>
      </c>
      <c r="C30" s="144" t="s">
        <v>239</v>
      </c>
      <c r="D30" s="145"/>
      <c r="E30" s="23"/>
      <c r="F30" s="23"/>
      <c r="G30" s="77"/>
      <c r="H30" s="23"/>
      <c r="I30" s="50"/>
      <c r="J30" s="23"/>
      <c r="K30" s="23"/>
      <c r="L30" s="23"/>
      <c r="M30" s="23"/>
      <c r="N30" s="23"/>
      <c r="O30" s="98">
        <v>2.954E-2</v>
      </c>
      <c r="Q30" s="85"/>
      <c r="R30" s="55"/>
    </row>
    <row r="31" spans="2:18" ht="15.75" customHeight="1" thickBot="1">
      <c r="B31" s="83">
        <v>22</v>
      </c>
      <c r="C31" s="142" t="s">
        <v>238</v>
      </c>
      <c r="D31" s="143"/>
      <c r="E31" s="22" t="s">
        <v>155</v>
      </c>
      <c r="F31" s="22" t="s">
        <v>156</v>
      </c>
      <c r="G31" s="22"/>
      <c r="H31" s="22"/>
      <c r="I31" s="49"/>
      <c r="J31" s="22"/>
      <c r="K31" s="22"/>
      <c r="L31" s="22"/>
      <c r="M31" s="22"/>
      <c r="N31" s="22"/>
      <c r="O31" s="43">
        <v>1.4980739049793124E-2</v>
      </c>
      <c r="Q31" s="85"/>
    </row>
    <row r="32" spans="2:18" ht="15.75" thickBot="1">
      <c r="B32" s="92" t="s">
        <v>83</v>
      </c>
      <c r="C32" s="90"/>
      <c r="D32" s="90"/>
      <c r="E32" s="90"/>
      <c r="F32" s="90"/>
      <c r="G32" s="90"/>
      <c r="H32" s="90"/>
      <c r="I32" s="91"/>
      <c r="J32" s="90"/>
      <c r="K32" s="90"/>
      <c r="L32" s="90"/>
      <c r="M32" s="90"/>
      <c r="N32" s="90"/>
      <c r="O32" s="90"/>
      <c r="Q32" s="85"/>
    </row>
    <row r="33" spans="2:19" ht="15.75" thickBot="1">
      <c r="B33" s="27">
        <v>23</v>
      </c>
      <c r="C33" s="142" t="s">
        <v>13</v>
      </c>
      <c r="D33" s="143"/>
      <c r="E33" s="22" t="s">
        <v>84</v>
      </c>
      <c r="F33" s="29" t="s">
        <v>85</v>
      </c>
      <c r="G33" s="24">
        <v>3.9980000000000002</v>
      </c>
      <c r="H33" s="22" t="s">
        <v>42</v>
      </c>
      <c r="I33" s="53">
        <v>2.7179999999999999E-3</v>
      </c>
      <c r="J33" s="24">
        <v>3.9940000000000002</v>
      </c>
      <c r="K33" s="24">
        <v>4.0049999999999999</v>
      </c>
      <c r="L33" s="22"/>
      <c r="M33" s="22"/>
      <c r="N33" s="22"/>
      <c r="O33" s="22"/>
      <c r="Q33" s="85"/>
    </row>
    <row r="34" spans="2:19" ht="15.75" thickBot="1">
      <c r="B34" s="31">
        <v>24</v>
      </c>
      <c r="C34" s="144" t="s">
        <v>86</v>
      </c>
      <c r="D34" s="145"/>
      <c r="E34" s="23" t="s">
        <v>87</v>
      </c>
      <c r="F34" s="30" t="s">
        <v>88</v>
      </c>
      <c r="G34" s="23">
        <v>28.27</v>
      </c>
      <c r="H34" s="23" t="s">
        <v>42</v>
      </c>
      <c r="I34" s="50">
        <v>4.1280000000000001</v>
      </c>
      <c r="J34" s="74">
        <v>28.26</v>
      </c>
      <c r="K34" s="74">
        <v>28.27</v>
      </c>
      <c r="L34" s="23"/>
      <c r="M34" s="23"/>
      <c r="N34" s="23"/>
      <c r="O34" s="23"/>
      <c r="Q34" s="85"/>
    </row>
    <row r="35" spans="2:19" ht="15.75" customHeight="1" thickBot="1">
      <c r="B35" s="27">
        <v>25</v>
      </c>
      <c r="C35" s="142" t="s">
        <v>89</v>
      </c>
      <c r="D35" s="143"/>
      <c r="E35" s="22" t="s">
        <v>90</v>
      </c>
      <c r="F35" s="22" t="s">
        <v>91</v>
      </c>
      <c r="G35" s="25">
        <v>8.2910000000000004</v>
      </c>
      <c r="H35" s="28" t="s">
        <v>42</v>
      </c>
      <c r="I35" s="54">
        <v>8.1599999999999999E-4</v>
      </c>
      <c r="J35" s="66">
        <v>8.2899999999999991</v>
      </c>
      <c r="K35" s="25">
        <v>8.2919999999999998</v>
      </c>
      <c r="L35" s="22"/>
      <c r="M35" s="22"/>
      <c r="N35" s="22"/>
      <c r="O35" s="22"/>
      <c r="Q35" s="86"/>
    </row>
    <row r="36" spans="2:19" ht="15.75" thickBot="1">
      <c r="B36" s="31">
        <v>26</v>
      </c>
      <c r="C36" s="144" t="s">
        <v>14</v>
      </c>
      <c r="D36" s="145"/>
      <c r="E36" s="23" t="s">
        <v>92</v>
      </c>
      <c r="F36" s="23" t="s">
        <v>93</v>
      </c>
      <c r="G36" s="23">
        <v>944.1</v>
      </c>
      <c r="H36" s="23" t="s">
        <v>42</v>
      </c>
      <c r="I36" s="52">
        <v>460.1</v>
      </c>
      <c r="J36" s="23">
        <v>943.4</v>
      </c>
      <c r="K36" s="23">
        <v>944.5</v>
      </c>
      <c r="L36" s="23"/>
      <c r="M36" s="23"/>
      <c r="N36" s="23"/>
      <c r="O36" s="23"/>
      <c r="Q36" s="85"/>
      <c r="R36" s="55"/>
      <c r="S36" t="s">
        <v>102</v>
      </c>
    </row>
    <row r="37" spans="2:19" ht="15.75" thickBot="1">
      <c r="B37" s="27">
        <v>27</v>
      </c>
      <c r="C37" s="142" t="s">
        <v>15</v>
      </c>
      <c r="D37" s="143"/>
      <c r="E37" s="22" t="s">
        <v>94</v>
      </c>
      <c r="F37" s="22" t="s">
        <v>95</v>
      </c>
      <c r="G37" s="24">
        <v>1.0680000000000001</v>
      </c>
      <c r="H37" s="76" t="s">
        <v>96</v>
      </c>
      <c r="I37" s="53">
        <v>2.6440000000000001E-3</v>
      </c>
      <c r="J37" s="24">
        <v>1.0640000000000001</v>
      </c>
      <c r="K37" s="24">
        <v>1.071</v>
      </c>
      <c r="L37" s="22"/>
      <c r="M37" s="22"/>
      <c r="N37" s="22"/>
      <c r="O37" s="22"/>
      <c r="Q37" s="85"/>
      <c r="S37" t="s">
        <v>105</v>
      </c>
    </row>
    <row r="38" spans="2:19" ht="15.75" customHeight="1" thickBot="1">
      <c r="B38" s="31">
        <v>28</v>
      </c>
      <c r="C38" s="144" t="s">
        <v>16</v>
      </c>
      <c r="D38" s="145"/>
      <c r="E38" s="23" t="s">
        <v>97</v>
      </c>
      <c r="F38" s="30" t="s">
        <v>98</v>
      </c>
      <c r="G38" s="47">
        <v>984.2</v>
      </c>
      <c r="H38" s="23" t="s">
        <v>42</v>
      </c>
      <c r="I38" s="61">
        <v>0.15776200000000001</v>
      </c>
      <c r="J38" s="100">
        <v>984</v>
      </c>
      <c r="K38" s="47">
        <v>984.6</v>
      </c>
      <c r="L38" s="23"/>
      <c r="M38" s="23"/>
      <c r="N38" s="23"/>
      <c r="O38" s="23"/>
      <c r="Q38" s="85"/>
      <c r="S38" t="s">
        <v>108</v>
      </c>
    </row>
    <row r="39" spans="2:19" ht="15.75" customHeight="1" thickBot="1">
      <c r="B39" s="27">
        <v>29</v>
      </c>
      <c r="C39" s="142" t="s">
        <v>245</v>
      </c>
      <c r="D39" s="143"/>
      <c r="E39" s="22" t="s">
        <v>138</v>
      </c>
      <c r="F39" s="22" t="s">
        <v>139</v>
      </c>
      <c r="G39" s="24">
        <v>30.47</v>
      </c>
      <c r="H39" s="76" t="s">
        <v>20</v>
      </c>
      <c r="I39" s="53">
        <v>6.5100000000000002E-3</v>
      </c>
      <c r="J39" s="24">
        <v>30.46</v>
      </c>
      <c r="K39" s="24">
        <v>30.48</v>
      </c>
      <c r="L39" s="22"/>
      <c r="M39" s="22"/>
      <c r="N39" s="22"/>
      <c r="O39" s="22"/>
      <c r="Q39" s="86"/>
      <c r="S39" t="s">
        <v>233</v>
      </c>
    </row>
    <row r="40" spans="2:19" ht="15.75" thickBot="1">
      <c r="B40" s="92" t="s">
        <v>99</v>
      </c>
      <c r="C40" s="90"/>
      <c r="D40" s="90"/>
      <c r="E40" s="90"/>
      <c r="F40" s="90"/>
      <c r="G40" s="90"/>
      <c r="H40" s="90"/>
      <c r="I40" s="91"/>
      <c r="J40" s="90"/>
      <c r="K40" s="90"/>
      <c r="L40" s="90"/>
      <c r="M40" s="90"/>
      <c r="N40" s="90"/>
      <c r="O40" s="90"/>
      <c r="Q40" s="85"/>
    </row>
    <row r="41" spans="2:19" ht="15.75" customHeight="1" thickBot="1">
      <c r="B41" s="31">
        <v>30</v>
      </c>
      <c r="C41" s="144" t="s">
        <v>100</v>
      </c>
      <c r="D41" s="145"/>
      <c r="E41" s="23" t="s">
        <v>101</v>
      </c>
      <c r="F41" s="23" t="s">
        <v>17</v>
      </c>
      <c r="G41" s="99">
        <v>1.47</v>
      </c>
      <c r="H41" s="26" t="s">
        <v>42</v>
      </c>
      <c r="I41" s="63">
        <v>1.14E-2</v>
      </c>
      <c r="J41" s="68">
        <v>1.45</v>
      </c>
      <c r="K41" s="68">
        <v>1.48</v>
      </c>
      <c r="L41" s="23"/>
      <c r="M41" s="23"/>
      <c r="N41" s="23"/>
      <c r="O41" s="23"/>
      <c r="Q41" s="86"/>
    </row>
    <row r="42" spans="2:19" ht="18" customHeight="1" thickBot="1">
      <c r="B42" s="27">
        <v>31</v>
      </c>
      <c r="C42" s="142" t="s">
        <v>18</v>
      </c>
      <c r="D42" s="143"/>
      <c r="E42" s="22" t="s">
        <v>103</v>
      </c>
      <c r="F42" s="22" t="s">
        <v>104</v>
      </c>
      <c r="G42" s="25">
        <v>142.4</v>
      </c>
      <c r="H42" s="28" t="s">
        <v>20</v>
      </c>
      <c r="I42" s="66">
        <v>28.31</v>
      </c>
      <c r="J42" s="25">
        <v>119.5</v>
      </c>
      <c r="K42" s="25">
        <v>186.1</v>
      </c>
      <c r="L42" s="22"/>
      <c r="M42" s="22"/>
      <c r="N42" s="22"/>
      <c r="O42" s="22"/>
      <c r="Q42" s="85"/>
    </row>
    <row r="43" spans="2:19" ht="15.75" thickBot="1">
      <c r="B43" s="31">
        <v>32</v>
      </c>
      <c r="C43" s="144" t="s">
        <v>106</v>
      </c>
      <c r="D43" s="145"/>
      <c r="E43" s="23" t="s">
        <v>107</v>
      </c>
      <c r="F43" s="23" t="s">
        <v>19</v>
      </c>
      <c r="G43" s="32"/>
      <c r="H43" s="26" t="s">
        <v>20</v>
      </c>
      <c r="I43" s="63"/>
      <c r="J43" s="32"/>
      <c r="K43" s="26">
        <v>561.5</v>
      </c>
      <c r="L43" s="23"/>
      <c r="M43" s="23"/>
      <c r="N43" s="23"/>
      <c r="O43" s="23"/>
      <c r="Q43" s="85"/>
      <c r="R43" s="55"/>
    </row>
    <row r="44" spans="2:19" ht="15.75" thickBot="1">
      <c r="B44" s="27">
        <v>33</v>
      </c>
      <c r="C44" s="57" t="s">
        <v>244</v>
      </c>
      <c r="D44" s="58"/>
      <c r="E44" s="22" t="s">
        <v>141</v>
      </c>
      <c r="F44" s="22" t="s">
        <v>142</v>
      </c>
      <c r="G44" s="25">
        <v>1.927</v>
      </c>
      <c r="H44" s="28" t="s">
        <v>42</v>
      </c>
      <c r="I44" s="54">
        <v>7.3786478737263082E-4</v>
      </c>
      <c r="J44" s="25">
        <v>1.9259999999999999</v>
      </c>
      <c r="K44" s="25">
        <v>1.9279999999999999</v>
      </c>
      <c r="L44" s="22"/>
      <c r="M44" s="22"/>
      <c r="N44" s="22"/>
      <c r="O44" s="22"/>
      <c r="Q44" s="85"/>
      <c r="R44" s="55"/>
    </row>
    <row r="45" spans="2:19" ht="15.75" thickBot="1">
      <c r="B45" s="31">
        <v>34</v>
      </c>
      <c r="C45" s="59" t="s">
        <v>243</v>
      </c>
      <c r="D45" s="60"/>
      <c r="E45" s="23" t="s">
        <v>145</v>
      </c>
      <c r="F45" s="23" t="s">
        <v>146</v>
      </c>
      <c r="G45" s="32">
        <v>5.8719999999999999</v>
      </c>
      <c r="H45" s="26" t="s">
        <v>42</v>
      </c>
      <c r="I45" s="63">
        <v>3.7000000000000002E-3</v>
      </c>
      <c r="J45" s="32">
        <v>5.8659999999999997</v>
      </c>
      <c r="K45" s="32">
        <v>5.8769999999999998</v>
      </c>
      <c r="L45" s="23"/>
      <c r="M45" s="23"/>
      <c r="N45" s="23"/>
      <c r="O45" s="36"/>
      <c r="Q45" s="85"/>
    </row>
    <row r="46" spans="2:19" ht="18" customHeight="1" thickBot="1">
      <c r="B46" s="27">
        <v>35</v>
      </c>
      <c r="C46" s="142" t="s">
        <v>242</v>
      </c>
      <c r="D46" s="143"/>
      <c r="E46" s="22" t="s">
        <v>148</v>
      </c>
      <c r="F46" s="22" t="s">
        <v>149</v>
      </c>
      <c r="G46" s="25"/>
      <c r="H46" s="28" t="s">
        <v>42</v>
      </c>
      <c r="I46" s="54"/>
      <c r="J46" s="25">
        <v>1.6379999999999999</v>
      </c>
      <c r="K46" s="25">
        <v>28.82</v>
      </c>
      <c r="L46" s="22"/>
      <c r="M46" s="22"/>
      <c r="N46" s="22"/>
      <c r="O46" s="37">
        <v>0.79549999999999998</v>
      </c>
      <c r="Q46" s="85"/>
    </row>
    <row r="47" spans="2:19" ht="15.75" thickBot="1">
      <c r="B47" s="31">
        <v>36</v>
      </c>
      <c r="C47" s="59" t="s">
        <v>241</v>
      </c>
      <c r="D47" s="60"/>
      <c r="E47" s="23" t="s">
        <v>151</v>
      </c>
      <c r="F47" s="23" t="s">
        <v>152</v>
      </c>
      <c r="G47" s="32">
        <v>2.0830000000000002</v>
      </c>
      <c r="H47" s="26" t="s">
        <v>42</v>
      </c>
      <c r="I47" s="63">
        <v>0.48559999999999998</v>
      </c>
      <c r="J47" s="32">
        <v>2.0830000000000002</v>
      </c>
      <c r="K47" s="32">
        <v>3.3479999999999999</v>
      </c>
      <c r="L47" s="23"/>
      <c r="M47" s="23"/>
      <c r="N47" s="23"/>
      <c r="O47" s="95">
        <v>0.20449999999999999</v>
      </c>
      <c r="Q47" s="85"/>
    </row>
    <row r="48" spans="2:19" ht="15.75" thickBot="1">
      <c r="B48" s="92" t="s">
        <v>109</v>
      </c>
      <c r="C48" s="90"/>
      <c r="D48" s="90"/>
      <c r="E48" s="90"/>
      <c r="F48" s="90"/>
      <c r="G48" s="90"/>
      <c r="H48" s="90"/>
      <c r="I48" s="91"/>
      <c r="J48" s="90"/>
      <c r="K48" s="90"/>
      <c r="L48" s="90"/>
      <c r="M48" s="90"/>
      <c r="N48" s="90"/>
      <c r="O48" s="90"/>
      <c r="Q48" s="85"/>
    </row>
    <row r="49" spans="2:18" ht="18.75" customHeight="1" thickBot="1">
      <c r="B49" s="27">
        <v>37</v>
      </c>
      <c r="C49" s="142" t="s">
        <v>21</v>
      </c>
      <c r="D49" s="143"/>
      <c r="E49" s="22" t="s">
        <v>103</v>
      </c>
      <c r="F49" s="22" t="s">
        <v>110</v>
      </c>
      <c r="G49" s="94">
        <v>32.318235294117649</v>
      </c>
      <c r="H49" s="22" t="s">
        <v>20</v>
      </c>
      <c r="I49" s="53">
        <v>4.8880016366608858</v>
      </c>
      <c r="J49" s="24">
        <v>31.16</v>
      </c>
      <c r="K49" s="24">
        <v>50.72</v>
      </c>
      <c r="L49" s="22"/>
      <c r="M49" s="22"/>
      <c r="N49" s="22"/>
      <c r="O49" s="22"/>
      <c r="Q49" s="85"/>
    </row>
    <row r="50" spans="2:18" ht="17.25" customHeight="1" thickBot="1">
      <c r="B50" s="92" t="s">
        <v>111</v>
      </c>
      <c r="C50" s="90"/>
      <c r="D50" s="90"/>
      <c r="E50" s="90"/>
      <c r="F50" s="90"/>
      <c r="G50" s="90"/>
      <c r="H50" s="90"/>
      <c r="I50" s="91"/>
      <c r="J50" s="90"/>
      <c r="K50" s="90"/>
      <c r="L50" s="90"/>
      <c r="M50" s="90"/>
      <c r="N50" s="90"/>
      <c r="O50" s="90"/>
      <c r="Q50" s="85"/>
    </row>
    <row r="51" spans="2:18" ht="15.75" thickBot="1">
      <c r="B51" s="130">
        <v>38</v>
      </c>
      <c r="C51" s="144" t="s">
        <v>112</v>
      </c>
      <c r="D51" s="145"/>
      <c r="E51" s="23" t="s">
        <v>113</v>
      </c>
      <c r="F51" s="23" t="s">
        <v>22</v>
      </c>
      <c r="G51" s="23"/>
      <c r="H51" s="23"/>
      <c r="I51" s="50"/>
      <c r="J51" s="23"/>
      <c r="K51" s="23"/>
      <c r="L51" s="23"/>
      <c r="M51" s="23"/>
      <c r="N51" s="23"/>
      <c r="O51" s="23"/>
      <c r="Q51" s="85"/>
      <c r="R51" s="55"/>
    </row>
    <row r="52" spans="2:18" ht="15.75" thickBot="1">
      <c r="B52" s="131"/>
      <c r="C52" s="142" t="s">
        <v>114</v>
      </c>
      <c r="D52" s="143"/>
      <c r="E52" s="22"/>
      <c r="F52" s="22"/>
      <c r="G52" s="22">
        <v>9.7170000000000005</v>
      </c>
      <c r="H52" s="22" t="s">
        <v>20</v>
      </c>
      <c r="I52" s="49">
        <v>2.7519999999999998</v>
      </c>
      <c r="J52" s="22">
        <v>8.7859999999999996</v>
      </c>
      <c r="K52" s="76">
        <v>48.75</v>
      </c>
      <c r="L52" s="22"/>
      <c r="M52" s="22"/>
      <c r="N52" s="22"/>
      <c r="O52" s="22"/>
      <c r="Q52" s="85"/>
      <c r="R52" s="55"/>
    </row>
    <row r="53" spans="2:18" ht="15.75" customHeight="1" thickBot="1">
      <c r="B53" s="132"/>
      <c r="C53" s="144" t="s">
        <v>115</v>
      </c>
      <c r="D53" s="145"/>
      <c r="E53" s="23"/>
      <c r="F53" s="23"/>
      <c r="G53" s="23">
        <v>8.3010000000000002</v>
      </c>
      <c r="H53" s="23" t="s">
        <v>20</v>
      </c>
      <c r="I53" s="50">
        <v>2.7469999999999999</v>
      </c>
      <c r="J53" s="23">
        <v>7.1029999999999998</v>
      </c>
      <c r="K53" s="74">
        <v>20.96</v>
      </c>
      <c r="L53" s="23"/>
      <c r="M53" s="23"/>
      <c r="N53" s="23"/>
      <c r="O53" s="23"/>
      <c r="Q53" s="86"/>
    </row>
    <row r="54" spans="2:18" ht="15.75" thickBot="1">
      <c r="B54" s="127">
        <v>39</v>
      </c>
      <c r="C54" s="142" t="s">
        <v>116</v>
      </c>
      <c r="D54" s="143"/>
      <c r="E54" s="22" t="s">
        <v>117</v>
      </c>
      <c r="F54" s="22" t="s">
        <v>118</v>
      </c>
      <c r="G54" s="22"/>
      <c r="H54" s="22"/>
      <c r="I54" s="49"/>
      <c r="J54" s="22"/>
      <c r="K54" s="22"/>
      <c r="L54" s="22"/>
      <c r="M54" s="22"/>
      <c r="N54" s="22"/>
      <c r="O54" s="22"/>
      <c r="Q54" s="85"/>
    </row>
    <row r="55" spans="2:18" ht="15.75" thickBot="1">
      <c r="B55" s="128"/>
      <c r="C55" s="125" t="s">
        <v>119</v>
      </c>
      <c r="D55" s="23" t="s">
        <v>120</v>
      </c>
      <c r="E55" s="23"/>
      <c r="F55" s="23"/>
      <c r="G55" s="23">
        <v>2.0139999999999998</v>
      </c>
      <c r="H55" s="23" t="s">
        <v>42</v>
      </c>
      <c r="I55" s="52">
        <v>101</v>
      </c>
      <c r="J55" s="23">
        <v>1.974</v>
      </c>
      <c r="K55" s="23">
        <v>2.4940000000000002</v>
      </c>
      <c r="L55" s="23">
        <v>1.992</v>
      </c>
      <c r="M55" s="23"/>
      <c r="N55" s="23"/>
      <c r="O55" s="23"/>
      <c r="Q55" s="85"/>
    </row>
    <row r="56" spans="2:18" ht="15.75" thickBot="1">
      <c r="B56" s="128"/>
      <c r="C56" s="126"/>
      <c r="D56" s="22" t="s">
        <v>121</v>
      </c>
      <c r="E56" s="22"/>
      <c r="F56" s="22"/>
      <c r="G56" s="22">
        <v>500.1</v>
      </c>
      <c r="H56" s="22" t="s">
        <v>42</v>
      </c>
      <c r="I56" s="51">
        <v>704.9</v>
      </c>
      <c r="J56" s="22">
        <v>498.9</v>
      </c>
      <c r="K56" s="22">
        <v>501.4</v>
      </c>
      <c r="L56" s="22"/>
      <c r="M56" s="22"/>
      <c r="N56" s="22"/>
      <c r="O56" s="22"/>
      <c r="Q56" s="85"/>
    </row>
    <row r="57" spans="2:18" ht="15.75" thickBot="1">
      <c r="B57" s="128"/>
      <c r="C57" s="133" t="s">
        <v>122</v>
      </c>
      <c r="D57" s="23" t="s">
        <v>120</v>
      </c>
      <c r="E57" s="23"/>
      <c r="F57" s="23"/>
      <c r="G57" s="23">
        <v>1.994</v>
      </c>
      <c r="H57" s="23" t="s">
        <v>42</v>
      </c>
      <c r="I57" s="50">
        <v>5.73</v>
      </c>
      <c r="J57" s="23">
        <v>1.9810000000000001</v>
      </c>
      <c r="K57" s="77">
        <v>2.0099999999999998</v>
      </c>
      <c r="L57" s="23">
        <v>13.25</v>
      </c>
      <c r="M57" s="23"/>
      <c r="N57" s="23"/>
      <c r="O57" s="23"/>
      <c r="Q57" s="85"/>
    </row>
    <row r="58" spans="2:18" ht="15.75" customHeight="1" thickBot="1">
      <c r="B58" s="129"/>
      <c r="C58" s="134"/>
      <c r="D58" s="22" t="s">
        <v>121</v>
      </c>
      <c r="E58" s="22"/>
      <c r="F58" s="22"/>
      <c r="G58" s="51">
        <v>73.5</v>
      </c>
      <c r="H58" s="22" t="s">
        <v>42</v>
      </c>
      <c r="I58" s="51">
        <v>246.5</v>
      </c>
      <c r="J58" s="22">
        <v>73.3</v>
      </c>
      <c r="K58" s="22">
        <v>73.86</v>
      </c>
      <c r="L58" s="22"/>
      <c r="M58" s="22"/>
      <c r="N58" s="22"/>
      <c r="O58" s="22"/>
      <c r="Q58" s="86"/>
    </row>
    <row r="59" spans="2:18" ht="15.75" thickBot="1">
      <c r="B59" s="130">
        <v>40</v>
      </c>
      <c r="C59" s="144" t="s">
        <v>23</v>
      </c>
      <c r="D59" s="145"/>
      <c r="E59" s="23" t="s">
        <v>123</v>
      </c>
      <c r="F59" s="75" t="s">
        <v>124</v>
      </c>
      <c r="G59" s="23"/>
      <c r="H59" s="23"/>
      <c r="I59" s="50"/>
      <c r="J59" s="23"/>
      <c r="K59" s="23"/>
      <c r="L59" s="23"/>
      <c r="M59" s="23"/>
      <c r="N59" s="23"/>
      <c r="O59" s="23"/>
      <c r="Q59" s="85"/>
    </row>
    <row r="60" spans="2:18" ht="15.75" thickBot="1">
      <c r="B60" s="131"/>
      <c r="C60" s="142" t="s">
        <v>114</v>
      </c>
      <c r="D60" s="143"/>
      <c r="E60" s="22"/>
      <c r="F60" s="22"/>
      <c r="G60" s="76">
        <v>94.37</v>
      </c>
      <c r="H60" s="22" t="s">
        <v>20</v>
      </c>
      <c r="I60" s="49">
        <v>4.8419999999999996</v>
      </c>
      <c r="J60" s="22">
        <v>89.43</v>
      </c>
      <c r="K60" s="22">
        <v>124.8</v>
      </c>
      <c r="L60" s="22"/>
      <c r="M60" s="22"/>
      <c r="N60" s="22"/>
      <c r="O60" s="22"/>
      <c r="Q60" s="85"/>
    </row>
    <row r="61" spans="2:18" ht="15.75" thickBot="1">
      <c r="B61" s="132"/>
      <c r="C61" s="144" t="s">
        <v>115</v>
      </c>
      <c r="D61" s="145"/>
      <c r="E61" s="23"/>
      <c r="F61" s="23"/>
      <c r="G61" s="74">
        <v>97.42</v>
      </c>
      <c r="H61" s="23" t="s">
        <v>20</v>
      </c>
      <c r="I61" s="50">
        <v>6.9260000000000002</v>
      </c>
      <c r="J61" s="23">
        <v>92.43</v>
      </c>
      <c r="K61" s="23">
        <v>127.9</v>
      </c>
      <c r="L61" s="23"/>
      <c r="M61" s="23"/>
      <c r="N61" s="23"/>
      <c r="O61" s="23"/>
      <c r="Q61" s="85"/>
    </row>
    <row r="62" spans="2:18" ht="15.75" thickBot="1">
      <c r="B62" s="92" t="s">
        <v>125</v>
      </c>
      <c r="C62" s="90"/>
      <c r="D62" s="90"/>
      <c r="E62" s="90"/>
      <c r="F62" s="90"/>
      <c r="G62" s="90"/>
      <c r="H62" s="90"/>
      <c r="I62" s="91"/>
      <c r="J62" s="90"/>
      <c r="K62" s="90"/>
      <c r="L62" s="90"/>
      <c r="M62" s="90"/>
      <c r="N62" s="90"/>
      <c r="O62" s="90"/>
      <c r="Q62" s="87"/>
    </row>
    <row r="63" spans="2:18" ht="15.75" thickBot="1">
      <c r="B63" s="31">
        <v>41</v>
      </c>
      <c r="C63" s="144" t="s">
        <v>24</v>
      </c>
      <c r="D63" s="145"/>
      <c r="E63" s="23" t="s">
        <v>126</v>
      </c>
      <c r="F63" s="23" t="s">
        <v>127</v>
      </c>
      <c r="G63" s="32">
        <v>389.6</v>
      </c>
      <c r="H63" s="23" t="s">
        <v>20</v>
      </c>
      <c r="I63" s="68">
        <v>27.203430000000001</v>
      </c>
      <c r="J63" s="32">
        <v>320.8</v>
      </c>
      <c r="K63" s="32">
        <v>440.2</v>
      </c>
      <c r="L63" s="23"/>
      <c r="M63" s="23"/>
      <c r="N63" s="23"/>
      <c r="O63" s="23"/>
      <c r="Q63" s="87"/>
    </row>
    <row r="64" spans="2:18" ht="15.75" thickBot="1">
      <c r="B64" s="127">
        <v>42</v>
      </c>
      <c r="C64" s="142" t="s">
        <v>128</v>
      </c>
      <c r="D64" s="143"/>
      <c r="E64" s="22" t="s">
        <v>129</v>
      </c>
      <c r="F64" s="22" t="s">
        <v>25</v>
      </c>
      <c r="G64" s="25"/>
      <c r="H64" s="28"/>
      <c r="I64" s="54"/>
      <c r="J64" s="25"/>
      <c r="K64" s="25"/>
      <c r="L64" s="22"/>
      <c r="M64" s="22"/>
      <c r="N64" s="22"/>
      <c r="O64" s="22"/>
      <c r="Q64" s="87"/>
    </row>
    <row r="65" spans="2:18" ht="15.75" customHeight="1" thickBot="1">
      <c r="B65" s="128"/>
      <c r="C65" s="144" t="s">
        <v>130</v>
      </c>
      <c r="D65" s="145"/>
      <c r="E65" s="23"/>
      <c r="F65" s="23"/>
      <c r="G65" s="32">
        <v>194.4</v>
      </c>
      <c r="H65" s="26" t="s">
        <v>42</v>
      </c>
      <c r="I65" s="63">
        <v>4.8347810000000004</v>
      </c>
      <c r="J65" s="32">
        <v>184.2</v>
      </c>
      <c r="K65" s="32">
        <v>200.1</v>
      </c>
      <c r="L65" s="23"/>
      <c r="M65" s="23"/>
      <c r="N65" s="23"/>
      <c r="O65" s="23"/>
      <c r="Q65" s="84"/>
    </row>
    <row r="66" spans="2:18" ht="15.75" thickBot="1">
      <c r="B66" s="129"/>
      <c r="C66" s="142" t="s">
        <v>131</v>
      </c>
      <c r="D66" s="143"/>
      <c r="E66" s="22"/>
      <c r="F66" s="22"/>
      <c r="G66" s="25">
        <v>95.97</v>
      </c>
      <c r="H66" s="28" t="s">
        <v>42</v>
      </c>
      <c r="I66" s="54">
        <v>3.7322220000000002</v>
      </c>
      <c r="J66" s="25">
        <v>90.22</v>
      </c>
      <c r="K66" s="25">
        <v>100.6</v>
      </c>
      <c r="L66" s="22"/>
      <c r="M66" s="22"/>
      <c r="N66" s="22"/>
      <c r="O66" s="22"/>
      <c r="Q66" s="85"/>
      <c r="R66" t="s">
        <v>234</v>
      </c>
    </row>
    <row r="67" spans="2:18" ht="15.75" thickBot="1">
      <c r="B67" s="92" t="s">
        <v>132</v>
      </c>
      <c r="C67" s="90"/>
      <c r="D67" s="90"/>
      <c r="E67" s="90"/>
      <c r="F67" s="90"/>
      <c r="G67" s="90"/>
      <c r="H67" s="90"/>
      <c r="I67" s="91"/>
      <c r="J67" s="90"/>
      <c r="K67" s="90"/>
      <c r="L67" s="90"/>
      <c r="M67" s="90"/>
      <c r="N67" s="90"/>
      <c r="O67" s="90"/>
      <c r="Q67" s="85"/>
    </row>
    <row r="68" spans="2:18" ht="15.75" thickBot="1">
      <c r="B68" s="27">
        <v>43</v>
      </c>
      <c r="C68" s="142" t="s">
        <v>26</v>
      </c>
      <c r="D68" s="143"/>
      <c r="E68" s="22" t="s">
        <v>133</v>
      </c>
      <c r="F68" s="22" t="s">
        <v>27</v>
      </c>
      <c r="G68" s="25">
        <v>22.92</v>
      </c>
      <c r="H68" s="28" t="s">
        <v>42</v>
      </c>
      <c r="I68" s="54">
        <v>2.5139999999999999E-2</v>
      </c>
      <c r="J68" s="25">
        <v>22.89</v>
      </c>
      <c r="K68" s="25">
        <v>22.98</v>
      </c>
      <c r="L68" s="22"/>
      <c r="M68" s="22"/>
      <c r="N68" s="22"/>
      <c r="O68" s="22"/>
      <c r="Q68" s="85"/>
      <c r="R68" t="s">
        <v>235</v>
      </c>
    </row>
    <row r="69" spans="2:18" ht="15.75" thickBot="1">
      <c r="B69" s="31">
        <v>44</v>
      </c>
      <c r="C69" s="144" t="s">
        <v>29</v>
      </c>
      <c r="D69" s="145"/>
      <c r="E69" s="23" t="s">
        <v>134</v>
      </c>
      <c r="F69" s="23" t="s">
        <v>135</v>
      </c>
      <c r="G69" s="32">
        <v>395.6</v>
      </c>
      <c r="H69" s="26" t="s">
        <v>42</v>
      </c>
      <c r="I69" s="63">
        <v>0.1167</v>
      </c>
      <c r="J69" s="32">
        <v>395.4</v>
      </c>
      <c r="K69" s="32">
        <v>395.8</v>
      </c>
      <c r="L69" s="23"/>
      <c r="M69" s="23"/>
      <c r="N69" s="23"/>
      <c r="O69" s="23"/>
      <c r="Q69" s="85"/>
      <c r="R69" t="s">
        <v>235</v>
      </c>
    </row>
    <row r="70" spans="2:18" ht="15.75" thickBot="1">
      <c r="B70" s="27">
        <v>45</v>
      </c>
      <c r="C70" s="142" t="s">
        <v>30</v>
      </c>
      <c r="D70" s="143"/>
      <c r="E70" s="22" t="s">
        <v>134</v>
      </c>
      <c r="F70" s="22" t="s">
        <v>135</v>
      </c>
      <c r="G70" s="22">
        <v>40.89</v>
      </c>
      <c r="H70" s="22" t="s">
        <v>20</v>
      </c>
      <c r="I70" s="49">
        <v>0.47249999999999998</v>
      </c>
      <c r="J70" s="22">
        <v>40.47</v>
      </c>
      <c r="K70" s="22">
        <v>43.67</v>
      </c>
      <c r="L70" s="22"/>
      <c r="M70" s="22"/>
      <c r="N70" s="22"/>
      <c r="O70" s="22"/>
      <c r="Q70" s="85"/>
      <c r="R70" t="s">
        <v>235</v>
      </c>
    </row>
    <row r="71" spans="2:18">
      <c r="Q71" s="85"/>
      <c r="R71" t="s">
        <v>235</v>
      </c>
    </row>
    <row r="72" spans="2:18">
      <c r="Q72" s="85"/>
      <c r="R72" t="s">
        <v>236</v>
      </c>
    </row>
    <row r="73" spans="2:18">
      <c r="Q73" s="85"/>
    </row>
    <row r="74" spans="2:18" ht="15.75" customHeight="1">
      <c r="Q74" s="85"/>
    </row>
    <row r="75" spans="2:18" ht="15.75" customHeight="1" thickBot="1">
      <c r="Q75" s="85"/>
    </row>
    <row r="76" spans="2:18" ht="15.75" thickBot="1">
      <c r="B76" s="72" t="s">
        <v>136</v>
      </c>
      <c r="C76" s="73"/>
      <c r="D76" s="73"/>
      <c r="E76" s="73"/>
      <c r="F76" s="73"/>
      <c r="G76" s="73"/>
      <c r="H76" s="73"/>
      <c r="I76" s="81"/>
      <c r="J76" s="73"/>
      <c r="K76" s="73"/>
      <c r="L76" s="73"/>
      <c r="M76" s="73"/>
      <c r="N76" s="73"/>
      <c r="O76" s="73"/>
      <c r="Q76" s="87"/>
    </row>
    <row r="77" spans="2:18" ht="15.75" thickBot="1">
      <c r="B77" s="31">
        <v>1</v>
      </c>
      <c r="C77" s="144" t="s">
        <v>137</v>
      </c>
      <c r="D77" s="145"/>
      <c r="E77" s="23" t="s">
        <v>138</v>
      </c>
      <c r="F77" s="23" t="s">
        <v>139</v>
      </c>
      <c r="G77" s="32">
        <v>30.47</v>
      </c>
      <c r="H77" s="26" t="s">
        <v>20</v>
      </c>
      <c r="I77" s="63">
        <v>6.5100000000000002E-3</v>
      </c>
      <c r="J77" s="32">
        <v>30.46</v>
      </c>
      <c r="K77" s="32">
        <v>30.48</v>
      </c>
      <c r="L77" s="23"/>
      <c r="M77" s="23"/>
      <c r="N77" s="23"/>
      <c r="O77" s="23"/>
      <c r="Q77" s="87"/>
    </row>
    <row r="78" spans="2:18" ht="15.75" thickBot="1">
      <c r="B78" s="27">
        <v>2</v>
      </c>
      <c r="C78" s="142"/>
      <c r="D78" s="143"/>
      <c r="E78" s="22"/>
      <c r="F78" s="22"/>
      <c r="G78" s="25"/>
      <c r="H78" s="28"/>
      <c r="I78" s="54"/>
      <c r="J78" s="25"/>
      <c r="K78" s="25"/>
      <c r="L78" s="22"/>
      <c r="M78" s="22"/>
      <c r="N78" s="22"/>
      <c r="O78" s="22"/>
      <c r="Q78" s="87"/>
    </row>
    <row r="79" spans="2:18" ht="15.75" thickBot="1">
      <c r="B79" s="31">
        <v>3</v>
      </c>
      <c r="C79" s="144" t="s">
        <v>140</v>
      </c>
      <c r="D79" s="145"/>
      <c r="E79" s="23" t="s">
        <v>141</v>
      </c>
      <c r="F79" s="23" t="s">
        <v>142</v>
      </c>
      <c r="G79" s="32">
        <v>1.927</v>
      </c>
      <c r="H79" s="26" t="s">
        <v>42</v>
      </c>
      <c r="I79" s="63" t="s">
        <v>143</v>
      </c>
      <c r="J79" s="32">
        <v>1.9259999999999999</v>
      </c>
      <c r="K79" s="32">
        <v>1.9279999999999999</v>
      </c>
      <c r="L79" s="23"/>
      <c r="M79" s="23"/>
      <c r="N79" s="23"/>
      <c r="O79" s="23"/>
      <c r="Q79" s="87"/>
    </row>
    <row r="80" spans="2:18" ht="15.75" thickBot="1">
      <c r="B80" s="27">
        <v>4</v>
      </c>
      <c r="C80" s="142" t="s">
        <v>144</v>
      </c>
      <c r="D80" s="143"/>
      <c r="E80" s="22" t="s">
        <v>145</v>
      </c>
      <c r="F80" s="22" t="s">
        <v>146</v>
      </c>
      <c r="G80" s="25">
        <v>5.8719999999999999</v>
      </c>
      <c r="H80" s="28" t="s">
        <v>42</v>
      </c>
      <c r="I80" s="54">
        <v>3.7000000000000002E-3</v>
      </c>
      <c r="J80" s="25">
        <v>5.8659999999999997</v>
      </c>
      <c r="K80" s="25">
        <v>5.8769999999999998</v>
      </c>
      <c r="L80" s="22"/>
      <c r="M80" s="22"/>
      <c r="N80" s="22"/>
      <c r="O80" s="22"/>
    </row>
    <row r="81" spans="2:15" ht="15.75" thickBot="1">
      <c r="B81" s="31">
        <v>5</v>
      </c>
      <c r="C81" s="144" t="s">
        <v>147</v>
      </c>
      <c r="D81" s="145"/>
      <c r="E81" s="23" t="s">
        <v>148</v>
      </c>
      <c r="F81" s="23" t="s">
        <v>149</v>
      </c>
      <c r="G81" s="32"/>
      <c r="H81" s="26" t="s">
        <v>42</v>
      </c>
      <c r="I81" s="63"/>
      <c r="J81" s="32">
        <v>1.6379999999999999</v>
      </c>
      <c r="K81" s="32">
        <v>28.82</v>
      </c>
      <c r="L81" s="23"/>
      <c r="M81" s="23"/>
      <c r="N81" s="23"/>
      <c r="O81" s="36">
        <v>0.88849999999999996</v>
      </c>
    </row>
    <row r="82" spans="2:15" ht="15.75" thickBot="1">
      <c r="B82" s="27">
        <v>6</v>
      </c>
      <c r="C82" s="142" t="s">
        <v>150</v>
      </c>
      <c r="D82" s="143"/>
      <c r="E82" s="22" t="s">
        <v>151</v>
      </c>
      <c r="F82" s="22" t="s">
        <v>152</v>
      </c>
      <c r="G82" s="25">
        <v>2.0830000000000002</v>
      </c>
      <c r="H82" s="28" t="s">
        <v>42</v>
      </c>
      <c r="I82" s="54">
        <v>0.48559999999999998</v>
      </c>
      <c r="J82" s="25">
        <v>2.0830000000000002</v>
      </c>
      <c r="K82" s="25">
        <v>3.3479999999999999</v>
      </c>
      <c r="L82" s="22"/>
      <c r="M82" s="22"/>
      <c r="N82" s="22"/>
      <c r="O82" s="37">
        <v>0.2326</v>
      </c>
    </row>
    <row r="83" spans="2:15" ht="15.75" thickBot="1">
      <c r="B83" s="146">
        <v>7</v>
      </c>
      <c r="C83" s="144" t="s">
        <v>153</v>
      </c>
      <c r="D83" s="145"/>
      <c r="E83" s="23"/>
      <c r="F83" s="23"/>
      <c r="G83" s="77">
        <v>4.63</v>
      </c>
      <c r="H83" s="23" t="s">
        <v>20</v>
      </c>
      <c r="I83" s="50">
        <v>0.70909999999999995</v>
      </c>
      <c r="J83" s="23">
        <v>3.8690000000000002</v>
      </c>
      <c r="K83" s="23">
        <v>9.0489999999999995</v>
      </c>
      <c r="L83" s="23"/>
      <c r="M83" s="23"/>
      <c r="N83" s="23"/>
      <c r="O83" s="23"/>
    </row>
    <row r="84" spans="2:15" ht="15.75" thickBot="1">
      <c r="B84" s="147"/>
      <c r="C84" s="142" t="s">
        <v>154</v>
      </c>
      <c r="D84" s="143"/>
      <c r="E84" s="22" t="s">
        <v>155</v>
      </c>
      <c r="F84" s="22" t="s">
        <v>156</v>
      </c>
      <c r="G84" s="22"/>
      <c r="H84" s="22"/>
      <c r="I84" s="49"/>
      <c r="J84" s="22"/>
      <c r="K84" s="22"/>
      <c r="L84" s="22"/>
      <c r="M84" s="22"/>
      <c r="N84" s="22"/>
      <c r="O84" s="43">
        <v>1.9730000000000001E-2</v>
      </c>
    </row>
    <row r="85" spans="2:15" ht="15.75" thickBot="1">
      <c r="B85" s="147"/>
      <c r="C85" s="144" t="s">
        <v>157</v>
      </c>
      <c r="D85" s="145"/>
      <c r="E85" s="23" t="s">
        <v>158</v>
      </c>
      <c r="F85" s="23" t="s">
        <v>159</v>
      </c>
      <c r="G85" s="23"/>
      <c r="H85" s="23"/>
      <c r="I85" s="50"/>
      <c r="J85" s="23"/>
      <c r="K85" s="23"/>
      <c r="L85" s="23"/>
      <c r="M85" s="23"/>
      <c r="N85" s="23"/>
      <c r="O85" s="42">
        <v>2.954E-2</v>
      </c>
    </row>
    <row r="86" spans="2:15" ht="15.75" thickBot="1">
      <c r="B86" s="147"/>
      <c r="C86" s="142" t="s">
        <v>160</v>
      </c>
      <c r="D86" s="143"/>
      <c r="E86" s="22" t="s">
        <v>161</v>
      </c>
      <c r="F86" s="22" t="s">
        <v>162</v>
      </c>
      <c r="G86" s="22"/>
      <c r="H86" s="22"/>
      <c r="I86" s="49"/>
      <c r="J86" s="22"/>
      <c r="K86" s="22"/>
      <c r="L86" s="22"/>
      <c r="M86" s="22"/>
      <c r="N86" s="22"/>
      <c r="O86" s="43">
        <v>8.3499999999999998E-3</v>
      </c>
    </row>
  </sheetData>
  <mergeCells count="82">
    <mergeCell ref="C6:D6"/>
    <mergeCell ref="B51:B53"/>
    <mergeCell ref="C35:D35"/>
    <mergeCell ref="C36:D36"/>
    <mergeCell ref="C86:D86"/>
    <mergeCell ref="B83:B86"/>
    <mergeCell ref="C82:D82"/>
    <mergeCell ref="C83:D83"/>
    <mergeCell ref="C84:D84"/>
    <mergeCell ref="C85:D85"/>
    <mergeCell ref="C38:D38"/>
    <mergeCell ref="C37:D37"/>
    <mergeCell ref="C43:D43"/>
    <mergeCell ref="C55:C56"/>
    <mergeCell ref="C78:D78"/>
    <mergeCell ref="C79:D79"/>
    <mergeCell ref="C19:D19"/>
    <mergeCell ref="N1:N2"/>
    <mergeCell ref="O1:O2"/>
    <mergeCell ref="B4:B6"/>
    <mergeCell ref="M1:M2"/>
    <mergeCell ref="F1:F2"/>
    <mergeCell ref="C1:D2"/>
    <mergeCell ref="B1:B2"/>
    <mergeCell ref="E1:E2"/>
    <mergeCell ref="G1:G2"/>
    <mergeCell ref="H1:H2"/>
    <mergeCell ref="J1:J2"/>
    <mergeCell ref="K1:K2"/>
    <mergeCell ref="L1:L2"/>
    <mergeCell ref="C4:D4"/>
    <mergeCell ref="C5:D5"/>
    <mergeCell ref="C13:D13"/>
    <mergeCell ref="C14:D14"/>
    <mergeCell ref="C15:D15"/>
    <mergeCell ref="C17:D17"/>
    <mergeCell ref="C18:D18"/>
    <mergeCell ref="C10:D10"/>
    <mergeCell ref="C7:D7"/>
    <mergeCell ref="C8:D8"/>
    <mergeCell ref="C9:D9"/>
    <mergeCell ref="C12:D12"/>
    <mergeCell ref="C27:D27"/>
    <mergeCell ref="C33:D33"/>
    <mergeCell ref="C34:D34"/>
    <mergeCell ref="C20:D20"/>
    <mergeCell ref="C21:D21"/>
    <mergeCell ref="C22:D22"/>
    <mergeCell ref="C24:D24"/>
    <mergeCell ref="C25:D25"/>
    <mergeCell ref="C26:D26"/>
    <mergeCell ref="C23:D23"/>
    <mergeCell ref="C81:D81"/>
    <mergeCell ref="C49:D49"/>
    <mergeCell ref="C68:D68"/>
    <mergeCell ref="C69:D69"/>
    <mergeCell ref="C70:D70"/>
    <mergeCell ref="C77:D77"/>
    <mergeCell ref="C60:D60"/>
    <mergeCell ref="C61:D61"/>
    <mergeCell ref="C63:D63"/>
    <mergeCell ref="C64:D64"/>
    <mergeCell ref="C65:D65"/>
    <mergeCell ref="C66:D66"/>
    <mergeCell ref="C57:C58"/>
    <mergeCell ref="C80:D80"/>
    <mergeCell ref="B64:B66"/>
    <mergeCell ref="C39:D39"/>
    <mergeCell ref="C46:D46"/>
    <mergeCell ref="C28:D28"/>
    <mergeCell ref="C31:D31"/>
    <mergeCell ref="C29:D29"/>
    <mergeCell ref="C30:D30"/>
    <mergeCell ref="C41:D41"/>
    <mergeCell ref="C42:D42"/>
    <mergeCell ref="C51:D51"/>
    <mergeCell ref="C52:D52"/>
    <mergeCell ref="C53:D53"/>
    <mergeCell ref="C54:D54"/>
    <mergeCell ref="C59:D59"/>
    <mergeCell ref="B54:B58"/>
    <mergeCell ref="B59:B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C799-DC13-4A29-90F0-5B660316F63E}">
  <dimension ref="A1:R40"/>
  <sheetViews>
    <sheetView zoomScaleNormal="100" workbookViewId="0">
      <selection activeCell="C34" sqref="C34"/>
    </sheetView>
  </sheetViews>
  <sheetFormatPr defaultRowHeight="15"/>
  <cols>
    <col min="2" max="2" width="26.42578125" customWidth="1"/>
    <col min="3" max="3" width="32.7109375" customWidth="1"/>
    <col min="4" max="4" width="27.140625" customWidth="1"/>
    <col min="5" max="5" width="26.85546875" customWidth="1"/>
    <col min="6" max="6" width="26.7109375" customWidth="1"/>
    <col min="7" max="7" width="36.42578125" customWidth="1"/>
  </cols>
  <sheetData>
    <row r="1" spans="1:18">
      <c r="A1" t="s">
        <v>169</v>
      </c>
      <c r="K1" t="s">
        <v>170</v>
      </c>
      <c r="L1" t="s">
        <v>171</v>
      </c>
      <c r="M1" t="s">
        <v>172</v>
      </c>
      <c r="P1" t="s">
        <v>173</v>
      </c>
      <c r="Q1" t="s">
        <v>171</v>
      </c>
      <c r="R1" t="s">
        <v>174</v>
      </c>
    </row>
    <row r="2" spans="1:18">
      <c r="B2" s="9" t="s">
        <v>175</v>
      </c>
      <c r="C2" s="9" t="s">
        <v>176</v>
      </c>
      <c r="D2" s="9" t="s">
        <v>177</v>
      </c>
      <c r="P2">
        <v>116</v>
      </c>
      <c r="Q2">
        <v>31.07</v>
      </c>
      <c r="R2">
        <v>722</v>
      </c>
    </row>
    <row r="3" spans="1:18">
      <c r="B3" t="s">
        <v>178</v>
      </c>
      <c r="C3" t="s">
        <v>178</v>
      </c>
      <c r="D3" t="s">
        <v>178</v>
      </c>
      <c r="E3" t="s">
        <v>179</v>
      </c>
      <c r="F3" t="s">
        <v>179</v>
      </c>
      <c r="G3" t="s">
        <v>179</v>
      </c>
      <c r="K3" s="8">
        <v>0.11600000000000001</v>
      </c>
      <c r="L3" s="8">
        <v>31.07</v>
      </c>
      <c r="M3" s="8">
        <v>0.72199999999999998</v>
      </c>
      <c r="P3">
        <v>166</v>
      </c>
      <c r="Q3">
        <v>39.21</v>
      </c>
      <c r="R3">
        <v>728</v>
      </c>
    </row>
    <row r="4" spans="1:18">
      <c r="B4" t="s">
        <v>8</v>
      </c>
      <c r="C4" t="s">
        <v>180</v>
      </c>
      <c r="D4" t="s">
        <v>181</v>
      </c>
      <c r="E4" t="s">
        <v>182</v>
      </c>
      <c r="F4" t="s">
        <v>5</v>
      </c>
      <c r="G4" t="s">
        <v>183</v>
      </c>
      <c r="K4" s="8">
        <v>0.16600000000000001</v>
      </c>
      <c r="L4" s="8">
        <v>39.21</v>
      </c>
      <c r="M4" s="8">
        <v>0.72799999999999998</v>
      </c>
      <c r="P4">
        <v>104.7</v>
      </c>
      <c r="Q4">
        <v>37.229999999999997</v>
      </c>
      <c r="R4">
        <v>792.4</v>
      </c>
    </row>
    <row r="5" spans="1:18">
      <c r="B5">
        <v>31.07</v>
      </c>
      <c r="C5">
        <v>0.11600000000000001</v>
      </c>
      <c r="D5">
        <v>0.72199999999999998</v>
      </c>
      <c r="E5">
        <f>$B5+$D5</f>
        <v>31.792000000000002</v>
      </c>
      <c r="F5">
        <f>$B5-$C5</f>
        <v>30.954000000000001</v>
      </c>
      <c r="G5">
        <f>$C5+$D5</f>
        <v>0.83799999999999997</v>
      </c>
      <c r="K5" s="8">
        <v>0.1047</v>
      </c>
      <c r="L5" s="8">
        <v>37.229999999999997</v>
      </c>
      <c r="M5" s="8">
        <v>0.79239999999999999</v>
      </c>
      <c r="P5">
        <v>132.30000000000001</v>
      </c>
      <c r="Q5">
        <v>44.91</v>
      </c>
      <c r="R5">
        <v>728.4</v>
      </c>
    </row>
    <row r="6" spans="1:18">
      <c r="B6">
        <v>39.21</v>
      </c>
      <c r="C6">
        <v>0.16600000000000001</v>
      </c>
      <c r="D6">
        <v>0.72799999999999998</v>
      </c>
      <c r="E6">
        <f t="shared" ref="E6:E36" si="0">$B6+$D6</f>
        <v>39.938000000000002</v>
      </c>
      <c r="F6">
        <f t="shared" ref="F6:F35" si="1">$B6-$C6</f>
        <v>39.044000000000004</v>
      </c>
      <c r="G6">
        <f t="shared" ref="G6:G36" si="2">$C6+$D6</f>
        <v>0.89400000000000002</v>
      </c>
      <c r="K6" s="8">
        <v>0.1323</v>
      </c>
      <c r="L6" s="8">
        <v>44.91</v>
      </c>
      <c r="M6" s="8">
        <v>0.72839999999999994</v>
      </c>
      <c r="P6">
        <v>105.4</v>
      </c>
      <c r="Q6">
        <v>38.549999999999997</v>
      </c>
      <c r="R6">
        <v>730.4</v>
      </c>
    </row>
    <row r="7" spans="1:18">
      <c r="B7">
        <v>37.229999999999997</v>
      </c>
      <c r="C7">
        <v>0.1047</v>
      </c>
      <c r="D7">
        <v>0.79239999999999999</v>
      </c>
      <c r="E7">
        <f t="shared" si="0"/>
        <v>38.022399999999998</v>
      </c>
      <c r="F7">
        <f t="shared" si="1"/>
        <v>37.125299999999996</v>
      </c>
      <c r="G7">
        <f t="shared" si="2"/>
        <v>0.89710000000000001</v>
      </c>
      <c r="K7" s="8">
        <v>0.10540000000000001</v>
      </c>
      <c r="L7" s="8">
        <v>38.549999999999997</v>
      </c>
      <c r="M7" s="8">
        <v>0.73039999999999994</v>
      </c>
      <c r="P7">
        <v>102.1</v>
      </c>
      <c r="Q7">
        <v>44.07</v>
      </c>
      <c r="R7">
        <v>806.4</v>
      </c>
    </row>
    <row r="8" spans="1:18">
      <c r="B8">
        <v>44.91</v>
      </c>
      <c r="C8">
        <v>0.1323</v>
      </c>
      <c r="D8">
        <v>0.72839999999999994</v>
      </c>
      <c r="E8">
        <f>$B8+$D8</f>
        <v>45.638399999999997</v>
      </c>
      <c r="F8">
        <f t="shared" si="1"/>
        <v>44.777699999999996</v>
      </c>
      <c r="G8">
        <f t="shared" si="2"/>
        <v>0.86069999999999991</v>
      </c>
      <c r="K8" s="8">
        <v>0.1021</v>
      </c>
      <c r="L8" s="8">
        <v>44.07</v>
      </c>
      <c r="M8" s="8">
        <v>0.80640000000000001</v>
      </c>
      <c r="P8">
        <v>115.3</v>
      </c>
      <c r="Q8">
        <v>30.87</v>
      </c>
      <c r="R8">
        <v>806.4</v>
      </c>
    </row>
    <row r="9" spans="1:18">
      <c r="B9">
        <v>38.549999999999997</v>
      </c>
      <c r="C9">
        <v>0.10540000000000001</v>
      </c>
      <c r="D9">
        <v>0.73039999999999994</v>
      </c>
      <c r="E9">
        <f>$B9+$D9</f>
        <v>39.2804</v>
      </c>
      <c r="F9">
        <f t="shared" si="1"/>
        <v>38.444599999999994</v>
      </c>
      <c r="G9">
        <f>$C9+$D9</f>
        <v>0.83579999999999999</v>
      </c>
      <c r="K9" s="8">
        <v>0.1153</v>
      </c>
      <c r="L9" s="8">
        <v>30.87</v>
      </c>
      <c r="M9" s="8">
        <v>0.80640000000000001</v>
      </c>
      <c r="P9">
        <v>130.1</v>
      </c>
      <c r="Q9">
        <v>30.39</v>
      </c>
      <c r="R9">
        <v>776.4</v>
      </c>
    </row>
    <row r="10" spans="1:18">
      <c r="B10">
        <v>44.07</v>
      </c>
      <c r="C10">
        <v>0.1021</v>
      </c>
      <c r="D10">
        <v>0.80640000000000001</v>
      </c>
      <c r="E10">
        <f t="shared" si="0"/>
        <v>44.876400000000004</v>
      </c>
      <c r="F10">
        <f t="shared" si="1"/>
        <v>43.9679</v>
      </c>
      <c r="G10">
        <f t="shared" si="2"/>
        <v>0.90849999999999997</v>
      </c>
      <c r="K10" s="8">
        <v>0.13009999999999999</v>
      </c>
      <c r="L10" s="8">
        <v>30.39</v>
      </c>
      <c r="M10" s="8">
        <v>0.77639999999999998</v>
      </c>
      <c r="P10">
        <v>107</v>
      </c>
      <c r="Q10">
        <v>35.19</v>
      </c>
      <c r="R10">
        <v>792.4</v>
      </c>
    </row>
    <row r="11" spans="1:18">
      <c r="B11">
        <v>30.87</v>
      </c>
      <c r="C11">
        <v>0.1153</v>
      </c>
      <c r="D11">
        <v>0.80640000000000001</v>
      </c>
      <c r="E11">
        <f t="shared" si="0"/>
        <v>31.676400000000001</v>
      </c>
      <c r="F11">
        <f t="shared" si="1"/>
        <v>30.7547</v>
      </c>
      <c r="G11">
        <f t="shared" si="2"/>
        <v>0.92169999999999996</v>
      </c>
      <c r="K11" s="8">
        <v>0.107</v>
      </c>
      <c r="L11" s="8">
        <v>35.19</v>
      </c>
      <c r="M11" s="8">
        <v>0.79239999999999999</v>
      </c>
      <c r="P11">
        <v>102.1</v>
      </c>
      <c r="Q11">
        <v>32.19</v>
      </c>
      <c r="R11">
        <v>782.4</v>
      </c>
    </row>
    <row r="12" spans="1:18">
      <c r="B12">
        <v>30.39</v>
      </c>
      <c r="C12">
        <v>0.13009999999999999</v>
      </c>
      <c r="D12">
        <v>0.77639999999999998</v>
      </c>
      <c r="E12">
        <f t="shared" si="0"/>
        <v>31.166399999999999</v>
      </c>
      <c r="F12">
        <f t="shared" si="1"/>
        <v>30.259900000000002</v>
      </c>
      <c r="G12">
        <f t="shared" si="2"/>
        <v>0.90649999999999997</v>
      </c>
      <c r="K12" s="8">
        <v>0.1021</v>
      </c>
      <c r="L12" s="8">
        <v>32.19</v>
      </c>
      <c r="M12" s="8">
        <v>0.78239999999999998</v>
      </c>
      <c r="P12">
        <v>127.4</v>
      </c>
      <c r="Q12">
        <v>32.39</v>
      </c>
      <c r="R12">
        <v>766.4</v>
      </c>
    </row>
    <row r="13" spans="1:18">
      <c r="B13">
        <v>35.19</v>
      </c>
      <c r="C13">
        <v>0.107</v>
      </c>
      <c r="D13">
        <v>0.79239999999999999</v>
      </c>
      <c r="E13">
        <f t="shared" si="0"/>
        <v>35.982399999999998</v>
      </c>
      <c r="F13">
        <f t="shared" si="1"/>
        <v>35.082999999999998</v>
      </c>
      <c r="G13">
        <f t="shared" si="2"/>
        <v>0.89939999999999998</v>
      </c>
      <c r="K13" s="8">
        <v>0.12740000000000001</v>
      </c>
      <c r="L13" s="8">
        <v>32.39</v>
      </c>
      <c r="M13" s="8">
        <v>0.76639999999999997</v>
      </c>
      <c r="P13">
        <v>103</v>
      </c>
      <c r="Q13">
        <v>47.13</v>
      </c>
      <c r="R13">
        <v>778.8</v>
      </c>
    </row>
    <row r="14" spans="1:18">
      <c r="B14">
        <v>32.19</v>
      </c>
      <c r="C14">
        <v>0.1021</v>
      </c>
      <c r="D14">
        <v>0.78239999999999998</v>
      </c>
      <c r="E14">
        <f t="shared" si="0"/>
        <v>32.9724</v>
      </c>
      <c r="F14">
        <f t="shared" si="1"/>
        <v>32.087899999999998</v>
      </c>
      <c r="G14">
        <f t="shared" si="2"/>
        <v>0.88449999999999995</v>
      </c>
      <c r="K14" s="8">
        <v>0.10299999999999999</v>
      </c>
      <c r="L14" s="8">
        <v>47.13</v>
      </c>
      <c r="M14" s="8">
        <v>0.77879999999999994</v>
      </c>
      <c r="P14">
        <v>102.1</v>
      </c>
      <c r="Q14">
        <v>36.42</v>
      </c>
      <c r="R14">
        <v>798.8</v>
      </c>
    </row>
    <row r="15" spans="1:18">
      <c r="B15">
        <v>32.39</v>
      </c>
      <c r="C15">
        <v>0.12740000000000001</v>
      </c>
      <c r="D15">
        <v>0.76639999999999997</v>
      </c>
      <c r="E15">
        <f t="shared" si="0"/>
        <v>33.156399999999998</v>
      </c>
      <c r="F15">
        <f t="shared" si="1"/>
        <v>32.262599999999999</v>
      </c>
      <c r="G15">
        <f t="shared" si="2"/>
        <v>0.89379999999999993</v>
      </c>
      <c r="K15" s="8">
        <v>0.1021</v>
      </c>
      <c r="L15" s="8">
        <v>36.42</v>
      </c>
      <c r="M15" s="8">
        <v>0.79879999999999995</v>
      </c>
      <c r="P15">
        <v>116</v>
      </c>
      <c r="Q15">
        <v>51.12</v>
      </c>
      <c r="R15">
        <v>782.8</v>
      </c>
    </row>
    <row r="16" spans="1:18">
      <c r="B16">
        <v>47.13</v>
      </c>
      <c r="C16">
        <v>0.10299999999999999</v>
      </c>
      <c r="D16">
        <v>0.77879999999999994</v>
      </c>
      <c r="E16">
        <f t="shared" si="0"/>
        <v>47.908799999999999</v>
      </c>
      <c r="F16">
        <f t="shared" si="1"/>
        <v>47.027000000000001</v>
      </c>
      <c r="G16">
        <f t="shared" si="2"/>
        <v>0.88179999999999992</v>
      </c>
      <c r="K16" s="8">
        <v>0.11600000000000001</v>
      </c>
      <c r="L16" s="8">
        <v>51.12</v>
      </c>
      <c r="M16" s="8">
        <v>0.78279999999999994</v>
      </c>
      <c r="P16">
        <v>102.1</v>
      </c>
      <c r="Q16">
        <v>48.42</v>
      </c>
      <c r="R16">
        <v>790.8</v>
      </c>
    </row>
    <row r="17" spans="2:18">
      <c r="B17">
        <v>36.42</v>
      </c>
      <c r="C17">
        <v>0.1021</v>
      </c>
      <c r="D17">
        <v>0.79879999999999995</v>
      </c>
      <c r="E17">
        <f t="shared" si="0"/>
        <v>37.218800000000002</v>
      </c>
      <c r="F17">
        <f t="shared" si="1"/>
        <v>36.317900000000002</v>
      </c>
      <c r="G17">
        <f t="shared" si="2"/>
        <v>0.90089999999999992</v>
      </c>
      <c r="K17" s="8">
        <v>0.1021</v>
      </c>
      <c r="L17" s="8">
        <v>48.42</v>
      </c>
      <c r="M17" s="8">
        <v>0.79079999999999995</v>
      </c>
      <c r="P17">
        <v>127.2</v>
      </c>
      <c r="Q17">
        <v>43.44</v>
      </c>
      <c r="R17">
        <v>808.8</v>
      </c>
    </row>
    <row r="18" spans="2:18">
      <c r="B18">
        <v>51.12</v>
      </c>
      <c r="C18">
        <v>0.11600000000000001</v>
      </c>
      <c r="D18">
        <v>0.78279999999999994</v>
      </c>
      <c r="E18">
        <f t="shared" si="0"/>
        <v>51.902799999999999</v>
      </c>
      <c r="F18">
        <f t="shared" si="1"/>
        <v>51.003999999999998</v>
      </c>
      <c r="G18">
        <f t="shared" si="2"/>
        <v>0.89879999999999993</v>
      </c>
      <c r="K18" s="8">
        <v>0.12720000000000001</v>
      </c>
      <c r="L18" s="8">
        <v>43.44</v>
      </c>
      <c r="M18" s="8">
        <v>0.80879999999999996</v>
      </c>
      <c r="P18">
        <v>165</v>
      </c>
      <c r="Q18">
        <v>38.6</v>
      </c>
      <c r="R18">
        <v>750.8</v>
      </c>
    </row>
    <row r="19" spans="2:18">
      <c r="B19">
        <v>48.42</v>
      </c>
      <c r="C19">
        <v>0.1021</v>
      </c>
      <c r="D19">
        <v>0.79079999999999995</v>
      </c>
      <c r="E19">
        <f t="shared" si="0"/>
        <v>49.210799999999999</v>
      </c>
      <c r="F19">
        <f t="shared" si="1"/>
        <v>48.317900000000002</v>
      </c>
      <c r="G19">
        <f t="shared" si="2"/>
        <v>0.89289999999999992</v>
      </c>
      <c r="K19" s="8">
        <v>0.16500000000000001</v>
      </c>
      <c r="L19" s="8">
        <v>38.6</v>
      </c>
      <c r="M19" s="8">
        <v>0.75079999999999991</v>
      </c>
      <c r="P19">
        <v>102</v>
      </c>
      <c r="Q19">
        <v>36.880000000000003</v>
      </c>
      <c r="R19">
        <v>792.8</v>
      </c>
    </row>
    <row r="20" spans="2:18">
      <c r="B20">
        <v>43.44</v>
      </c>
      <c r="C20">
        <v>0.12720000000000001</v>
      </c>
      <c r="D20">
        <v>0.80879999999999996</v>
      </c>
      <c r="E20">
        <f t="shared" si="0"/>
        <v>44.248799999999996</v>
      </c>
      <c r="F20">
        <f t="shared" si="1"/>
        <v>43.312799999999996</v>
      </c>
      <c r="G20">
        <f t="shared" si="2"/>
        <v>0.93599999999999994</v>
      </c>
      <c r="K20" s="8">
        <v>0.10199999999999999</v>
      </c>
      <c r="L20" s="8">
        <v>36.880000000000003</v>
      </c>
      <c r="M20" s="8">
        <v>0.79279999999999995</v>
      </c>
      <c r="P20">
        <v>170</v>
      </c>
      <c r="Q20">
        <v>36.94</v>
      </c>
      <c r="R20">
        <v>736.8</v>
      </c>
    </row>
    <row r="21" spans="2:18">
      <c r="B21">
        <v>38.6</v>
      </c>
      <c r="C21">
        <v>0.16500000000000001</v>
      </c>
      <c r="D21">
        <v>0.75079999999999991</v>
      </c>
      <c r="E21">
        <f t="shared" si="0"/>
        <v>39.3508</v>
      </c>
      <c r="F21">
        <f t="shared" si="1"/>
        <v>38.435000000000002</v>
      </c>
      <c r="G21">
        <f t="shared" si="2"/>
        <v>0.91579999999999995</v>
      </c>
      <c r="K21" s="8">
        <v>0.17</v>
      </c>
      <c r="L21" s="8">
        <v>36.94</v>
      </c>
      <c r="M21" s="8">
        <v>0.7367999999999999</v>
      </c>
      <c r="P21">
        <v>152</v>
      </c>
      <c r="Q21">
        <v>40.76</v>
      </c>
      <c r="R21">
        <v>759.8</v>
      </c>
    </row>
    <row r="22" spans="2:18">
      <c r="B22">
        <v>36.880000000000003</v>
      </c>
      <c r="C22">
        <v>0.10199999999999999</v>
      </c>
      <c r="D22">
        <v>0.79279999999999995</v>
      </c>
      <c r="E22">
        <f t="shared" si="0"/>
        <v>37.672800000000002</v>
      </c>
      <c r="F22">
        <f t="shared" si="1"/>
        <v>36.778000000000006</v>
      </c>
      <c r="G22">
        <f t="shared" si="2"/>
        <v>0.89479999999999993</v>
      </c>
      <c r="K22" s="8">
        <v>0.152</v>
      </c>
      <c r="L22" s="8">
        <v>40.76</v>
      </c>
      <c r="M22" s="8">
        <v>0.75979999999999992</v>
      </c>
      <c r="P22">
        <v>174</v>
      </c>
      <c r="Q22">
        <v>37.020000000000003</v>
      </c>
      <c r="R22">
        <v>735.8</v>
      </c>
    </row>
    <row r="23" spans="2:18">
      <c r="B23">
        <v>36.94</v>
      </c>
      <c r="C23">
        <v>0.17</v>
      </c>
      <c r="D23">
        <v>0.7367999999999999</v>
      </c>
      <c r="E23">
        <f t="shared" si="0"/>
        <v>37.6768</v>
      </c>
      <c r="F23">
        <f t="shared" si="1"/>
        <v>36.769999999999996</v>
      </c>
      <c r="G23">
        <f t="shared" si="2"/>
        <v>0.90679999999999994</v>
      </c>
      <c r="K23" s="8">
        <v>0.17399999999999999</v>
      </c>
      <c r="L23" s="8">
        <v>37.020000000000003</v>
      </c>
      <c r="M23" s="8">
        <v>0.73580000000000001</v>
      </c>
      <c r="P23">
        <v>127</v>
      </c>
      <c r="Q23">
        <v>37.22</v>
      </c>
      <c r="R23">
        <v>731.8</v>
      </c>
    </row>
    <row r="24" spans="2:18">
      <c r="B24">
        <v>40.76</v>
      </c>
      <c r="C24">
        <v>0.152</v>
      </c>
      <c r="D24">
        <v>0.75979999999999992</v>
      </c>
      <c r="E24">
        <f t="shared" si="0"/>
        <v>41.519799999999996</v>
      </c>
      <c r="F24">
        <f t="shared" si="1"/>
        <v>40.607999999999997</v>
      </c>
      <c r="G24">
        <f t="shared" si="2"/>
        <v>0.91179999999999994</v>
      </c>
      <c r="K24" s="8">
        <v>0.127</v>
      </c>
      <c r="L24" s="8">
        <v>37.22</v>
      </c>
      <c r="M24" s="8">
        <v>0.73180000000000001</v>
      </c>
      <c r="P24">
        <v>108</v>
      </c>
      <c r="Q24">
        <v>31.48</v>
      </c>
      <c r="R24">
        <v>791.8</v>
      </c>
    </row>
    <row r="25" spans="2:18">
      <c r="B25">
        <v>37.020000000000003</v>
      </c>
      <c r="C25">
        <v>0.17399999999999999</v>
      </c>
      <c r="D25">
        <v>0.73580000000000001</v>
      </c>
      <c r="E25">
        <f t="shared" si="0"/>
        <v>37.755800000000001</v>
      </c>
      <c r="F25">
        <f t="shared" si="1"/>
        <v>36.846000000000004</v>
      </c>
      <c r="G25">
        <f t="shared" si="2"/>
        <v>0.90979999999999994</v>
      </c>
      <c r="K25" s="8">
        <v>0.108</v>
      </c>
      <c r="L25" s="8">
        <v>31.48</v>
      </c>
      <c r="M25" s="8">
        <v>0.79179999999999995</v>
      </c>
      <c r="P25">
        <v>107.3</v>
      </c>
      <c r="Q25">
        <v>31.3</v>
      </c>
      <c r="R25">
        <v>719.8</v>
      </c>
    </row>
    <row r="26" spans="2:18">
      <c r="B26">
        <v>37.22</v>
      </c>
      <c r="C26">
        <v>0.127</v>
      </c>
      <c r="D26">
        <v>0.73180000000000001</v>
      </c>
      <c r="E26">
        <f t="shared" si="0"/>
        <v>37.951799999999999</v>
      </c>
      <c r="F26">
        <f t="shared" si="1"/>
        <v>37.092999999999996</v>
      </c>
      <c r="G26">
        <f t="shared" si="2"/>
        <v>0.85880000000000001</v>
      </c>
      <c r="K26" s="8">
        <v>0.10729999999999999</v>
      </c>
      <c r="L26" s="8">
        <v>31.3</v>
      </c>
      <c r="M26" s="8">
        <v>0.7198</v>
      </c>
      <c r="P26">
        <v>107.1</v>
      </c>
      <c r="Q26">
        <v>38.44</v>
      </c>
      <c r="R26">
        <v>811.8</v>
      </c>
    </row>
    <row r="27" spans="2:18">
      <c r="B27">
        <v>31.48</v>
      </c>
      <c r="C27">
        <v>0.108</v>
      </c>
      <c r="D27">
        <v>0.79179999999999995</v>
      </c>
      <c r="E27">
        <f t="shared" si="0"/>
        <v>32.271799999999999</v>
      </c>
      <c r="F27">
        <f t="shared" si="1"/>
        <v>31.372</v>
      </c>
      <c r="G27">
        <f t="shared" si="2"/>
        <v>0.89979999999999993</v>
      </c>
      <c r="K27" s="8">
        <v>0.1071</v>
      </c>
      <c r="L27" s="8">
        <v>38.44</v>
      </c>
      <c r="M27" s="8">
        <v>0.81179999999999997</v>
      </c>
      <c r="P27">
        <v>166.1</v>
      </c>
      <c r="Q27">
        <v>42.46</v>
      </c>
      <c r="R27">
        <v>735.8</v>
      </c>
    </row>
    <row r="28" spans="2:18">
      <c r="B28">
        <v>31.3</v>
      </c>
      <c r="C28">
        <v>0.10729999999999999</v>
      </c>
      <c r="D28">
        <v>0.7198</v>
      </c>
      <c r="E28">
        <f t="shared" si="0"/>
        <v>32.019800000000004</v>
      </c>
      <c r="F28">
        <f t="shared" si="1"/>
        <v>31.192700000000002</v>
      </c>
      <c r="G28">
        <f t="shared" si="2"/>
        <v>0.82709999999999995</v>
      </c>
      <c r="K28" s="8">
        <v>0.1661</v>
      </c>
      <c r="L28" s="8">
        <v>42.46</v>
      </c>
      <c r="M28" s="8">
        <v>0.73580000000000001</v>
      </c>
      <c r="P28">
        <v>193</v>
      </c>
      <c r="Q28">
        <v>39.200000000000003</v>
      </c>
      <c r="R28">
        <v>755.8</v>
      </c>
    </row>
    <row r="29" spans="2:18">
      <c r="B29">
        <v>38.44</v>
      </c>
      <c r="C29">
        <v>0.1071</v>
      </c>
      <c r="D29">
        <v>0.81179999999999997</v>
      </c>
      <c r="E29">
        <f t="shared" si="0"/>
        <v>39.251799999999996</v>
      </c>
      <c r="F29">
        <f t="shared" si="1"/>
        <v>38.332899999999995</v>
      </c>
      <c r="G29">
        <f t="shared" si="2"/>
        <v>0.91889999999999994</v>
      </c>
      <c r="K29" s="8">
        <v>0.193</v>
      </c>
      <c r="L29" s="8">
        <v>39.200000000000003</v>
      </c>
      <c r="M29" s="8">
        <v>0.75579999999999992</v>
      </c>
      <c r="P29">
        <v>166.2</v>
      </c>
      <c r="Q29">
        <v>44.97</v>
      </c>
      <c r="R29">
        <v>745.8</v>
      </c>
    </row>
    <row r="30" spans="2:18">
      <c r="B30">
        <v>42.46</v>
      </c>
      <c r="C30">
        <v>0.1661</v>
      </c>
      <c r="D30">
        <v>0.73580000000000001</v>
      </c>
      <c r="E30">
        <f t="shared" si="0"/>
        <v>43.195799999999998</v>
      </c>
      <c r="F30">
        <f t="shared" si="1"/>
        <v>42.293900000000001</v>
      </c>
      <c r="G30">
        <f t="shared" si="2"/>
        <v>0.90190000000000003</v>
      </c>
      <c r="K30" s="8">
        <v>0.16619999999999999</v>
      </c>
      <c r="L30" s="8">
        <v>44.97</v>
      </c>
      <c r="M30" s="8">
        <v>0.74579999999999991</v>
      </c>
      <c r="P30">
        <v>102.2</v>
      </c>
      <c r="Q30">
        <v>34.17</v>
      </c>
      <c r="R30">
        <v>799.8</v>
      </c>
    </row>
    <row r="31" spans="2:18">
      <c r="B31">
        <v>39.200000000000003</v>
      </c>
      <c r="C31">
        <v>0.193</v>
      </c>
      <c r="D31">
        <v>0.75579999999999992</v>
      </c>
      <c r="E31">
        <f t="shared" si="0"/>
        <v>39.955800000000004</v>
      </c>
      <c r="F31">
        <f t="shared" si="1"/>
        <v>39.007000000000005</v>
      </c>
      <c r="G31">
        <f t="shared" si="2"/>
        <v>0.94879999999999987</v>
      </c>
      <c r="K31" s="8">
        <v>0.1022</v>
      </c>
      <c r="L31" s="8">
        <v>34.17</v>
      </c>
      <c r="M31" s="8">
        <v>0.79979999999999996</v>
      </c>
      <c r="P31">
        <v>167.1</v>
      </c>
      <c r="Q31">
        <v>37.270000000000003</v>
      </c>
      <c r="R31">
        <v>735.8</v>
      </c>
    </row>
    <row r="32" spans="2:18">
      <c r="B32">
        <v>44.97</v>
      </c>
      <c r="C32">
        <v>0.16619999999999999</v>
      </c>
      <c r="D32">
        <v>0.74579999999999991</v>
      </c>
      <c r="E32">
        <f t="shared" si="0"/>
        <v>45.715800000000002</v>
      </c>
      <c r="F32">
        <f>$B32-$C32</f>
        <v>44.803799999999995</v>
      </c>
      <c r="G32">
        <f t="shared" si="2"/>
        <v>0.91199999999999992</v>
      </c>
      <c r="K32" s="8">
        <v>0.1671</v>
      </c>
      <c r="L32" s="8">
        <v>37.270000000000003</v>
      </c>
      <c r="M32" s="8">
        <v>0.73580000000000001</v>
      </c>
      <c r="P32">
        <v>102</v>
      </c>
      <c r="Q32">
        <v>30.81</v>
      </c>
      <c r="R32">
        <v>783.8</v>
      </c>
    </row>
    <row r="33" spans="1:18">
      <c r="B33">
        <v>34.17</v>
      </c>
      <c r="C33">
        <v>0.1022</v>
      </c>
      <c r="D33">
        <v>0.79979999999999996</v>
      </c>
      <c r="E33">
        <f t="shared" si="0"/>
        <v>34.969799999999999</v>
      </c>
      <c r="F33">
        <f t="shared" si="1"/>
        <v>34.067799999999998</v>
      </c>
      <c r="G33">
        <f t="shared" si="2"/>
        <v>0.90199999999999991</v>
      </c>
      <c r="K33" s="8">
        <v>0.10199999999999999</v>
      </c>
      <c r="L33" s="8">
        <v>30.81</v>
      </c>
      <c r="M33" s="8">
        <v>0.78379999999999994</v>
      </c>
      <c r="P33">
        <v>142</v>
      </c>
      <c r="Q33">
        <v>38.93</v>
      </c>
      <c r="R33">
        <v>793.8</v>
      </c>
    </row>
    <row r="34" spans="1:18">
      <c r="B34">
        <v>37.270000000000003</v>
      </c>
      <c r="C34">
        <v>0.1671</v>
      </c>
      <c r="D34">
        <v>0.73580000000000001</v>
      </c>
      <c r="E34">
        <f t="shared" si="0"/>
        <v>38.005800000000001</v>
      </c>
      <c r="F34">
        <f t="shared" si="1"/>
        <v>37.102900000000005</v>
      </c>
      <c r="G34">
        <f t="shared" si="2"/>
        <v>0.90290000000000004</v>
      </c>
      <c r="K34" s="8">
        <v>0.14199999999999999</v>
      </c>
      <c r="L34" s="8">
        <v>38.93</v>
      </c>
      <c r="M34" s="8">
        <v>0.79379999999999995</v>
      </c>
    </row>
    <row r="35" spans="1:18">
      <c r="B35">
        <v>30.81</v>
      </c>
      <c r="C35">
        <v>0.10199999999999999</v>
      </c>
      <c r="D35">
        <v>0.78379999999999994</v>
      </c>
      <c r="E35">
        <f t="shared" si="0"/>
        <v>31.593799999999998</v>
      </c>
      <c r="F35">
        <f t="shared" si="1"/>
        <v>30.707999999999998</v>
      </c>
      <c r="G35">
        <f t="shared" si="2"/>
        <v>0.88579999999999992</v>
      </c>
    </row>
    <row r="36" spans="1:18" ht="15.75" thickBot="1">
      <c r="A36" s="2"/>
      <c r="B36" s="2">
        <v>38.93</v>
      </c>
      <c r="C36" s="2">
        <v>0.14199999999999999</v>
      </c>
      <c r="D36" s="2">
        <v>0.79379999999999995</v>
      </c>
      <c r="E36" s="2">
        <f t="shared" si="0"/>
        <v>39.723799999999997</v>
      </c>
      <c r="F36" s="2">
        <f>$B36-$C36</f>
        <v>38.787999999999997</v>
      </c>
      <c r="G36" s="2">
        <f t="shared" si="2"/>
        <v>0.93579999999999997</v>
      </c>
    </row>
    <row r="37" spans="1:18">
      <c r="A37" t="s">
        <v>165</v>
      </c>
      <c r="B37" s="3">
        <f>AVERAGE(B$5:B36)</f>
        <v>38.095312500000006</v>
      </c>
      <c r="C37" s="3">
        <f>AVERAGE(C$5:C36)</f>
        <v>0.12843125</v>
      </c>
      <c r="D37" s="3">
        <f>AVERAGE(D$5:D36)</f>
        <v>0.76791875000000009</v>
      </c>
      <c r="E37" s="3">
        <f>AVERAGE(E$5:E36)</f>
        <v>38.863231249999998</v>
      </c>
      <c r="F37" s="3">
        <f>AVERAGE(F$5:F36)</f>
        <v>37.966881250000007</v>
      </c>
      <c r="G37" s="3">
        <f>AVERAGE(G$5:G36)</f>
        <v>0.89634999999999998</v>
      </c>
    </row>
    <row r="38" spans="1:18">
      <c r="A38" t="s">
        <v>166</v>
      </c>
      <c r="B38" s="4">
        <f>_xlfn.STDEV.S(B$5:B36)</f>
        <v>5.5355490355519255</v>
      </c>
      <c r="C38" s="4">
        <f>_xlfn.STDEV.S(C$5:C36)</f>
        <v>2.8217889972783686E-2</v>
      </c>
      <c r="D38" s="4">
        <f>_xlfn.STDEV.S(D$5:D36)</f>
        <v>3.0233323182296074E-2</v>
      </c>
      <c r="E38" s="4">
        <f>_xlfn.STDEV.S(E$5:E36)</f>
        <v>5.5363982940138721</v>
      </c>
      <c r="F38" s="4">
        <f>_xlfn.STDEV.S(F$5:F36)</f>
        <v>5.5312644101616195</v>
      </c>
      <c r="G38" s="4">
        <f>_xlfn.STDEV.S(G$5:G36)</f>
        <v>2.760586660417929E-2</v>
      </c>
    </row>
    <row r="39" spans="1:18">
      <c r="A39" t="s">
        <v>167</v>
      </c>
      <c r="B39">
        <f>MIN(B$5:B36)</f>
        <v>30.39</v>
      </c>
      <c r="C39">
        <f>MIN(C$5:C36)</f>
        <v>0.10199999999999999</v>
      </c>
      <c r="D39">
        <f>MIN(D$5:D36)</f>
        <v>0.7198</v>
      </c>
      <c r="E39">
        <f>MIN(E$5:E36)</f>
        <v>31.166399999999999</v>
      </c>
      <c r="F39">
        <f>MIN(F$5:F36)</f>
        <v>30.259900000000002</v>
      </c>
      <c r="G39">
        <f>MIN(G$5:G36)</f>
        <v>0.82709999999999995</v>
      </c>
    </row>
    <row r="40" spans="1:18">
      <c r="A40" t="s">
        <v>168</v>
      </c>
      <c r="B40">
        <f>MAX(B$5:B36)</f>
        <v>51.12</v>
      </c>
      <c r="C40">
        <f>MAX(C$5:C36)</f>
        <v>0.193</v>
      </c>
      <c r="D40">
        <f>MAX(D$5:D36)</f>
        <v>0.81179999999999997</v>
      </c>
      <c r="E40">
        <f>MAX(E$5:E36)</f>
        <v>51.902799999999999</v>
      </c>
      <c r="F40">
        <f>MAX(F$5:F36)</f>
        <v>51.003999999999998</v>
      </c>
      <c r="G40">
        <f>MAX(G$5:G36)</f>
        <v>0.94879999999999987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16F-76A8-47A9-A878-BDA613FD3C8B}">
  <dimension ref="A1:O16"/>
  <sheetViews>
    <sheetView zoomScale="130" zoomScaleNormal="130" workbookViewId="0">
      <selection activeCell="D24" sqref="D24"/>
    </sheetView>
  </sheetViews>
  <sheetFormatPr defaultRowHeight="15"/>
  <cols>
    <col min="9" max="9" width="21" customWidth="1"/>
    <col min="10" max="10" width="10.5703125" bestFit="1" customWidth="1"/>
    <col min="11" max="11" width="11.42578125" customWidth="1"/>
    <col min="12" max="12" width="8.42578125" customWidth="1"/>
    <col min="13" max="13" width="5" customWidth="1"/>
    <col min="14" max="14" width="20.42578125" customWidth="1"/>
    <col min="16" max="16" width="11.140625" customWidth="1"/>
  </cols>
  <sheetData>
    <row r="1" spans="1:15">
      <c r="A1" s="10" t="s">
        <v>189</v>
      </c>
      <c r="I1" s="10"/>
      <c r="N1" s="10"/>
    </row>
    <row r="2" spans="1:15">
      <c r="B2" t="s">
        <v>164</v>
      </c>
      <c r="J2" s="11"/>
      <c r="O2" s="11"/>
    </row>
    <row r="3" spans="1:15">
      <c r="B3" s="4">
        <v>1.927</v>
      </c>
    </row>
    <row r="4" spans="1:15">
      <c r="B4" s="4">
        <v>1.927</v>
      </c>
    </row>
    <row r="5" spans="1:15">
      <c r="B5" s="4">
        <v>1.9259999999999999</v>
      </c>
      <c r="J5" s="3"/>
      <c r="O5" s="3"/>
    </row>
    <row r="6" spans="1:15">
      <c r="B6" s="4">
        <v>1.9279999999999999</v>
      </c>
    </row>
    <row r="7" spans="1:15">
      <c r="B7" s="4">
        <v>1.9259999999999999</v>
      </c>
    </row>
    <row r="8" spans="1:15">
      <c r="B8" s="4">
        <v>1.9259999999999999</v>
      </c>
    </row>
    <row r="9" spans="1:15">
      <c r="B9" s="4">
        <v>1.927</v>
      </c>
    </row>
    <row r="10" spans="1:15">
      <c r="B10" s="4">
        <v>1.9279999999999999</v>
      </c>
    </row>
    <row r="11" spans="1:15">
      <c r="B11" s="4">
        <v>1.927</v>
      </c>
    </row>
    <row r="12" spans="1:15" ht="15.75" thickBot="1">
      <c r="B12" s="6">
        <v>1.927</v>
      </c>
    </row>
    <row r="13" spans="1:15">
      <c r="A13" t="s">
        <v>165</v>
      </c>
      <c r="B13" s="3">
        <f>AVERAGE(B$3:B12)</f>
        <v>1.9268999999999998</v>
      </c>
    </row>
    <row r="14" spans="1:15">
      <c r="A14" t="s">
        <v>166</v>
      </c>
      <c r="B14" s="7">
        <f>_xlfn.STDEV.S(B$3:B12)</f>
        <v>7.3786478737263082E-4</v>
      </c>
    </row>
    <row r="15" spans="1:15">
      <c r="A15" t="s">
        <v>167</v>
      </c>
      <c r="B15" s="3">
        <f>MIN(B$3:B12)</f>
        <v>1.9259999999999999</v>
      </c>
    </row>
    <row r="16" spans="1:15">
      <c r="A16" t="s">
        <v>168</v>
      </c>
      <c r="B16" s="3">
        <f>MAX(B$3:B12)</f>
        <v>1.9279999999999999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8255-0AD2-422C-9360-039D2D8A4687}">
  <dimension ref="A1:N28"/>
  <sheetViews>
    <sheetView zoomScale="85" zoomScaleNormal="85" workbookViewId="0">
      <selection activeCell="F7" sqref="F7"/>
    </sheetView>
  </sheetViews>
  <sheetFormatPr defaultRowHeight="15"/>
  <cols>
    <col min="2" max="2" width="17" customWidth="1"/>
    <col min="3" max="4" width="19.85546875" customWidth="1"/>
    <col min="9" max="9" width="15" customWidth="1"/>
    <col min="10" max="10" width="17.42578125" customWidth="1"/>
    <col min="11" max="11" width="17.85546875" customWidth="1"/>
  </cols>
  <sheetData>
    <row r="1" spans="1:13" ht="15.75" thickBot="1">
      <c r="A1" s="10"/>
    </row>
    <row r="2" spans="1:13">
      <c r="B2" s="122" t="s">
        <v>200</v>
      </c>
      <c r="C2" s="123"/>
      <c r="D2" s="124"/>
      <c r="I2" s="122" t="s">
        <v>201</v>
      </c>
      <c r="J2" s="123"/>
      <c r="K2" s="124"/>
    </row>
    <row r="3" spans="1:13" ht="15.75" thickBot="1">
      <c r="B3" s="119" t="s">
        <v>203</v>
      </c>
      <c r="C3" s="120"/>
      <c r="D3" s="121"/>
      <c r="F3" t="s">
        <v>204</v>
      </c>
      <c r="I3" s="119" t="s">
        <v>203</v>
      </c>
      <c r="J3" s="120"/>
      <c r="K3" s="121"/>
      <c r="M3" t="s">
        <v>204</v>
      </c>
    </row>
    <row r="4" spans="1:13">
      <c r="B4" s="38" t="s">
        <v>205</v>
      </c>
      <c r="C4" t="s">
        <v>206</v>
      </c>
      <c r="D4" s="39" t="s">
        <v>207</v>
      </c>
      <c r="F4" t="s">
        <v>208</v>
      </c>
      <c r="I4" s="38" t="s">
        <v>209</v>
      </c>
      <c r="J4" t="s">
        <v>206</v>
      </c>
      <c r="K4" s="39" t="s">
        <v>207</v>
      </c>
      <c r="M4" t="s">
        <v>208</v>
      </c>
    </row>
    <row r="5" spans="1:13">
      <c r="B5" s="38">
        <v>7.0620000000000003</v>
      </c>
      <c r="C5">
        <v>190.1</v>
      </c>
      <c r="D5" s="39">
        <f>C5/1000</f>
        <v>0.19009999999999999</v>
      </c>
      <c r="F5">
        <f>D5/B5</f>
        <v>2.6918719909374111E-2</v>
      </c>
      <c r="I5" s="38">
        <v>91.25</v>
      </c>
      <c r="J5">
        <v>650.20000000000005</v>
      </c>
      <c r="K5" s="39">
        <f>J5/1000</f>
        <v>0.6502</v>
      </c>
      <c r="M5">
        <f>K5/I5</f>
        <v>7.1254794520547943E-3</v>
      </c>
    </row>
    <row r="6" spans="1:13">
      <c r="B6" s="38">
        <v>7.0979999999999999</v>
      </c>
      <c r="C6">
        <v>201</v>
      </c>
      <c r="D6" s="39">
        <f>C6/1000</f>
        <v>0.20100000000000001</v>
      </c>
      <c r="F6">
        <f t="shared" ref="F6:F24" si="0">D6/B6</f>
        <v>2.8317836010143704E-2</v>
      </c>
      <c r="I6" s="38">
        <v>90.39</v>
      </c>
      <c r="J6">
        <v>763.3</v>
      </c>
      <c r="K6" s="39">
        <f>J6/1000</f>
        <v>0.76329999999999998</v>
      </c>
      <c r="M6">
        <f t="shared" ref="M6:M24" si="1">K6/I6</f>
        <v>8.444518198915809E-3</v>
      </c>
    </row>
    <row r="7" spans="1:13">
      <c r="B7" s="38">
        <v>7.1</v>
      </c>
      <c r="C7">
        <v>177.3</v>
      </c>
      <c r="D7" s="39">
        <f t="shared" ref="D7:D24" si="2">C7/1000</f>
        <v>0.17730000000000001</v>
      </c>
      <c r="F7">
        <f t="shared" si="0"/>
        <v>2.4971830985915495E-2</v>
      </c>
      <c r="I7" s="38">
        <v>88.59</v>
      </c>
      <c r="J7">
        <v>719.8</v>
      </c>
      <c r="K7" s="39">
        <f t="shared" ref="K7:K24" si="3">J7/1000</f>
        <v>0.7198</v>
      </c>
      <c r="M7">
        <f t="shared" si="1"/>
        <v>8.1250705497234454E-3</v>
      </c>
    </row>
    <row r="8" spans="1:13">
      <c r="B8" s="38">
        <v>10.88</v>
      </c>
      <c r="C8">
        <v>367.2</v>
      </c>
      <c r="D8" s="39">
        <f t="shared" si="2"/>
        <v>0.36719999999999997</v>
      </c>
      <c r="F8">
        <f t="shared" si="0"/>
        <v>3.3749999999999995E-2</v>
      </c>
      <c r="I8" s="38">
        <v>7.0190000000000001</v>
      </c>
      <c r="J8">
        <v>127</v>
      </c>
      <c r="K8" s="39">
        <f t="shared" si="3"/>
        <v>0.127</v>
      </c>
      <c r="M8">
        <f t="shared" si="1"/>
        <v>1.8093745547798832E-2</v>
      </c>
    </row>
    <row r="9" spans="1:13">
      <c r="B9" s="38">
        <v>10.86</v>
      </c>
      <c r="C9">
        <v>362.5</v>
      </c>
      <c r="D9" s="39">
        <f t="shared" si="2"/>
        <v>0.36249999999999999</v>
      </c>
      <c r="F9">
        <f t="shared" si="0"/>
        <v>3.3379373848987107E-2</v>
      </c>
      <c r="I9" s="38">
        <v>90.14</v>
      </c>
      <c r="J9">
        <v>649.6</v>
      </c>
      <c r="K9" s="39">
        <f t="shared" si="3"/>
        <v>0.64960000000000007</v>
      </c>
      <c r="M9">
        <f t="shared" si="1"/>
        <v>7.2065675615708901E-3</v>
      </c>
    </row>
    <row r="10" spans="1:13">
      <c r="B10" s="38">
        <v>7.1710000000000003</v>
      </c>
      <c r="C10">
        <v>224.4</v>
      </c>
      <c r="D10" s="39">
        <f t="shared" si="2"/>
        <v>0.22440000000000002</v>
      </c>
      <c r="F10">
        <f t="shared" si="0"/>
        <v>3.1292706735462278E-2</v>
      </c>
      <c r="I10" s="38">
        <v>88.64</v>
      </c>
      <c r="J10">
        <v>676.3</v>
      </c>
      <c r="K10" s="39">
        <f t="shared" si="3"/>
        <v>0.6762999999999999</v>
      </c>
      <c r="M10">
        <f t="shared" si="1"/>
        <v>7.6297382671480134E-3</v>
      </c>
    </row>
    <row r="11" spans="1:13">
      <c r="B11" s="38">
        <v>7.492</v>
      </c>
      <c r="C11">
        <v>205.7</v>
      </c>
      <c r="D11" s="39">
        <f t="shared" si="2"/>
        <v>0.20569999999999999</v>
      </c>
      <c r="F11">
        <f t="shared" si="0"/>
        <v>2.7455953016550988E-2</v>
      </c>
      <c r="I11" s="38">
        <v>92.16</v>
      </c>
      <c r="J11">
        <v>697.1</v>
      </c>
      <c r="K11" s="39">
        <f t="shared" si="3"/>
        <v>0.69710000000000005</v>
      </c>
      <c r="M11">
        <f t="shared" si="1"/>
        <v>7.5640190972222233E-3</v>
      </c>
    </row>
    <row r="12" spans="1:13">
      <c r="B12" s="38">
        <v>7.1120000000000001</v>
      </c>
      <c r="C12">
        <v>220.1</v>
      </c>
      <c r="D12" s="39">
        <f t="shared" si="2"/>
        <v>0.22009999999999999</v>
      </c>
      <c r="F12">
        <f t="shared" si="0"/>
        <v>3.0947694038245217E-2</v>
      </c>
      <c r="I12" s="38">
        <v>89.43</v>
      </c>
      <c r="J12">
        <v>687.6</v>
      </c>
      <c r="K12" s="39">
        <f t="shared" si="3"/>
        <v>0.68759999999999999</v>
      </c>
      <c r="M12">
        <f t="shared" si="1"/>
        <v>7.6886950687688688E-3</v>
      </c>
    </row>
    <row r="13" spans="1:13">
      <c r="B13" s="38">
        <v>7.165</v>
      </c>
      <c r="C13">
        <v>206.3</v>
      </c>
      <c r="D13" s="39">
        <f t="shared" si="2"/>
        <v>0.20630000000000001</v>
      </c>
      <c r="F13">
        <f t="shared" si="0"/>
        <v>2.8792742498255409E-2</v>
      </c>
      <c r="I13" s="38">
        <v>93.5</v>
      </c>
      <c r="J13">
        <v>693.3</v>
      </c>
      <c r="K13" s="39">
        <f t="shared" si="3"/>
        <v>0.69329999999999992</v>
      </c>
      <c r="M13">
        <f t="shared" si="1"/>
        <v>7.4149732620320844E-3</v>
      </c>
    </row>
    <row r="14" spans="1:13">
      <c r="B14" s="38">
        <v>7.2830000000000004</v>
      </c>
      <c r="C14">
        <v>187.2</v>
      </c>
      <c r="D14" s="39">
        <f t="shared" si="2"/>
        <v>0.18719999999999998</v>
      </c>
      <c r="F14">
        <f t="shared" si="0"/>
        <v>2.5703693532884795E-2</v>
      </c>
      <c r="I14" s="38">
        <v>76.5</v>
      </c>
      <c r="J14">
        <v>659.6</v>
      </c>
      <c r="K14" s="39">
        <f t="shared" si="3"/>
        <v>0.65960000000000008</v>
      </c>
      <c r="M14">
        <f t="shared" si="1"/>
        <v>8.6222222222222238E-3</v>
      </c>
    </row>
    <row r="15" spans="1:13">
      <c r="B15" s="38">
        <v>10.83</v>
      </c>
      <c r="C15">
        <v>370.9</v>
      </c>
      <c r="D15" s="39">
        <f t="shared" si="2"/>
        <v>0.37089999999999995</v>
      </c>
      <c r="F15">
        <f t="shared" si="0"/>
        <v>3.4247460757156047E-2</v>
      </c>
      <c r="I15" s="38">
        <v>94.47</v>
      </c>
      <c r="J15">
        <v>733.8</v>
      </c>
      <c r="K15" s="39">
        <f t="shared" si="3"/>
        <v>0.73380000000000001</v>
      </c>
      <c r="M15">
        <f t="shared" si="1"/>
        <v>7.7675452524610987E-3</v>
      </c>
    </row>
    <row r="16" spans="1:13">
      <c r="B16" s="38">
        <v>7.1539999999999999</v>
      </c>
      <c r="C16">
        <v>209.5</v>
      </c>
      <c r="D16" s="39">
        <f t="shared" si="2"/>
        <v>0.20949999999999999</v>
      </c>
      <c r="F16">
        <f t="shared" si="0"/>
        <v>2.9284316466312552E-2</v>
      </c>
      <c r="I16" s="38">
        <v>86.5</v>
      </c>
      <c r="J16">
        <v>699.1</v>
      </c>
      <c r="K16" s="39">
        <f t="shared" si="3"/>
        <v>0.69910000000000005</v>
      </c>
      <c r="M16">
        <f t="shared" si="1"/>
        <v>8.0820809248554927E-3</v>
      </c>
    </row>
    <row r="17" spans="2:14">
      <c r="B17" s="38">
        <v>10.87</v>
      </c>
      <c r="C17">
        <v>380.7</v>
      </c>
      <c r="D17" s="39">
        <f t="shared" si="2"/>
        <v>0.38069999999999998</v>
      </c>
      <c r="F17">
        <f t="shared" si="0"/>
        <v>3.5022999080036803E-2</v>
      </c>
      <c r="I17" s="38">
        <v>90.26</v>
      </c>
      <c r="J17">
        <v>722.1</v>
      </c>
      <c r="K17" s="39">
        <f t="shared" si="3"/>
        <v>0.72210000000000008</v>
      </c>
      <c r="M17">
        <f t="shared" si="1"/>
        <v>8.0002215820961665E-3</v>
      </c>
    </row>
    <row r="18" spans="2:14">
      <c r="B18" s="38">
        <v>7.4130000000000003</v>
      </c>
      <c r="C18">
        <v>176.2</v>
      </c>
      <c r="D18" s="39">
        <f t="shared" si="2"/>
        <v>0.1762</v>
      </c>
      <c r="F18">
        <f t="shared" si="0"/>
        <v>2.3769054363955211E-2</v>
      </c>
      <c r="I18" s="38">
        <v>92</v>
      </c>
      <c r="J18">
        <v>713.3</v>
      </c>
      <c r="K18" s="39">
        <f t="shared" si="3"/>
        <v>0.71329999999999993</v>
      </c>
      <c r="M18">
        <f t="shared" si="1"/>
        <v>7.7532608695652164E-3</v>
      </c>
    </row>
    <row r="19" spans="2:14">
      <c r="B19" s="38">
        <v>7.1459999999999999</v>
      </c>
      <c r="C19">
        <v>205.5</v>
      </c>
      <c r="D19" s="39">
        <f t="shared" si="2"/>
        <v>0.20549999999999999</v>
      </c>
      <c r="F19">
        <f t="shared" si="0"/>
        <v>2.8757346767422334E-2</v>
      </c>
      <c r="I19" s="38">
        <v>93.65</v>
      </c>
      <c r="J19">
        <v>765</v>
      </c>
      <c r="K19" s="39">
        <f t="shared" si="3"/>
        <v>0.76500000000000001</v>
      </c>
      <c r="M19">
        <f t="shared" si="1"/>
        <v>8.1687132941804588E-3</v>
      </c>
    </row>
    <row r="20" spans="2:14">
      <c r="B20" s="38">
        <v>11.07</v>
      </c>
      <c r="C20">
        <v>358.9</v>
      </c>
      <c r="D20" s="39">
        <f t="shared" si="2"/>
        <v>0.3589</v>
      </c>
      <c r="F20">
        <f t="shared" si="0"/>
        <v>3.242095754290876E-2</v>
      </c>
      <c r="I20" s="38">
        <v>79.42</v>
      </c>
      <c r="J20">
        <v>646.20000000000005</v>
      </c>
      <c r="K20" s="39">
        <f t="shared" si="3"/>
        <v>0.6462</v>
      </c>
      <c r="M20">
        <f t="shared" si="1"/>
        <v>8.136489549231931E-3</v>
      </c>
    </row>
    <row r="21" spans="2:14">
      <c r="B21" s="38">
        <v>7.1210000000000004</v>
      </c>
      <c r="C21">
        <v>199.3</v>
      </c>
      <c r="D21" s="39">
        <f t="shared" si="2"/>
        <v>0.1993</v>
      </c>
      <c r="F21">
        <f t="shared" si="0"/>
        <v>2.7987642185086363E-2</v>
      </c>
      <c r="I21" s="38">
        <v>91.9</v>
      </c>
      <c r="J21">
        <v>655.8</v>
      </c>
      <c r="K21" s="39">
        <f t="shared" si="3"/>
        <v>0.65579999999999994</v>
      </c>
      <c r="M21">
        <f t="shared" si="1"/>
        <v>7.136017410228508E-3</v>
      </c>
    </row>
    <row r="22" spans="2:14">
      <c r="B22" s="38">
        <v>7.0709999999999997</v>
      </c>
      <c r="C22">
        <v>206.3</v>
      </c>
      <c r="D22" s="39">
        <f t="shared" si="2"/>
        <v>0.20630000000000001</v>
      </c>
      <c r="F22">
        <f t="shared" si="0"/>
        <v>2.9175505586197147E-2</v>
      </c>
      <c r="I22" s="38">
        <v>91.89</v>
      </c>
      <c r="J22">
        <v>703.5</v>
      </c>
      <c r="K22" s="39">
        <f t="shared" si="3"/>
        <v>0.70350000000000001</v>
      </c>
      <c r="M22">
        <f t="shared" si="1"/>
        <v>7.6558929154423765E-3</v>
      </c>
    </row>
    <row r="23" spans="2:14">
      <c r="B23" s="38">
        <v>7.1710000000000003</v>
      </c>
      <c r="C23">
        <v>210</v>
      </c>
      <c r="D23" s="39">
        <f t="shared" si="2"/>
        <v>0.21</v>
      </c>
      <c r="F23">
        <f t="shared" si="0"/>
        <v>2.9284618602705339E-2</v>
      </c>
      <c r="I23" s="38">
        <v>93.49</v>
      </c>
      <c r="J23">
        <v>734.7</v>
      </c>
      <c r="K23" s="39">
        <f t="shared" si="3"/>
        <v>0.73470000000000002</v>
      </c>
      <c r="M23">
        <f t="shared" si="1"/>
        <v>7.8585945020857844E-3</v>
      </c>
    </row>
    <row r="24" spans="2:14">
      <c r="B24" s="38">
        <v>7.1509999999999998</v>
      </c>
      <c r="C24">
        <v>209.5</v>
      </c>
      <c r="D24" s="39">
        <f t="shared" si="2"/>
        <v>0.20949999999999999</v>
      </c>
      <c r="F24">
        <f t="shared" si="0"/>
        <v>2.9296601873863796E-2</v>
      </c>
      <c r="I24" s="38">
        <v>92.24</v>
      </c>
      <c r="J24">
        <v>782.9</v>
      </c>
      <c r="K24" s="39">
        <f t="shared" si="3"/>
        <v>0.78289999999999993</v>
      </c>
      <c r="M24">
        <f t="shared" si="1"/>
        <v>8.4876409366869028E-3</v>
      </c>
    </row>
    <row r="25" spans="2:14" ht="15.75" thickBot="1">
      <c r="B25" s="40"/>
      <c r="C25" s="2"/>
      <c r="D25" s="41"/>
      <c r="I25" s="40"/>
      <c r="J25" s="2"/>
      <c r="K25" s="41"/>
    </row>
    <row r="28" spans="2:14">
      <c r="E28" t="s">
        <v>213</v>
      </c>
      <c r="G28" s="35">
        <f>AVERAGE(F5:F24)</f>
        <v>2.953885269007318E-2</v>
      </c>
      <c r="L28" t="s">
        <v>213</v>
      </c>
      <c r="N28" s="35">
        <f>AVERAGE(M5:M24)</f>
        <v>8.348074323214558E-3</v>
      </c>
    </row>
  </sheetData>
  <mergeCells count="4">
    <mergeCell ref="B3:D3"/>
    <mergeCell ref="I3:K3"/>
    <mergeCell ref="B2:D2"/>
    <mergeCell ref="I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6E44-6F55-452F-B2CD-540209A11A60}">
  <dimension ref="A1:C13"/>
  <sheetViews>
    <sheetView workbookViewId="0"/>
  </sheetViews>
  <sheetFormatPr defaultRowHeight="15"/>
  <cols>
    <col min="1" max="1" width="17.28515625" customWidth="1"/>
  </cols>
  <sheetData>
    <row r="1" spans="1:3">
      <c r="A1" s="10" t="s">
        <v>260</v>
      </c>
    </row>
    <row r="3" spans="1:3">
      <c r="A3" t="s">
        <v>202</v>
      </c>
    </row>
    <row r="5" spans="1:3">
      <c r="A5" t="s">
        <v>254</v>
      </c>
      <c r="B5">
        <v>2.0640000000000001</v>
      </c>
      <c r="C5" t="s">
        <v>42</v>
      </c>
    </row>
    <row r="8" spans="1:3">
      <c r="A8" t="s">
        <v>256</v>
      </c>
      <c r="B8">
        <v>100.8</v>
      </c>
      <c r="C8" t="s">
        <v>257</v>
      </c>
    </row>
    <row r="9" spans="1:3">
      <c r="B9">
        <f>B8/1000</f>
        <v>0.1008</v>
      </c>
      <c r="C9" t="s">
        <v>258</v>
      </c>
    </row>
    <row r="11" spans="1:3">
      <c r="A11" t="s">
        <v>255</v>
      </c>
      <c r="B11">
        <v>3.26</v>
      </c>
      <c r="C11" t="s">
        <v>210</v>
      </c>
    </row>
    <row r="12" spans="1:3" ht="15.75" thickBot="1">
      <c r="A12" s="2" t="s">
        <v>211</v>
      </c>
      <c r="B12" s="2">
        <f>B5*B11</f>
        <v>6.7286399999999995</v>
      </c>
      <c r="C12" s="2"/>
    </row>
    <row r="13" spans="1:3">
      <c r="A13" t="s">
        <v>212</v>
      </c>
      <c r="B13" s="35">
        <f>B9/B12</f>
        <v>1.4980739049793124E-2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63A9-5629-4341-A398-0BE623B898B5}">
  <dimension ref="A1:B16"/>
  <sheetViews>
    <sheetView workbookViewId="0">
      <selection activeCell="E33" sqref="E33"/>
    </sheetView>
  </sheetViews>
  <sheetFormatPr defaultRowHeight="15"/>
  <cols>
    <col min="1" max="1" width="11.28515625" customWidth="1"/>
    <col min="2" max="2" width="13.28515625" customWidth="1"/>
  </cols>
  <sheetData>
    <row r="1" spans="1:2">
      <c r="A1" s="10" t="s">
        <v>190</v>
      </c>
    </row>
    <row r="2" spans="1:2">
      <c r="B2" t="s">
        <v>164</v>
      </c>
    </row>
    <row r="3" spans="1:2">
      <c r="B3" s="4">
        <v>5.867</v>
      </c>
    </row>
    <row r="4" spans="1:2">
      <c r="B4" s="4">
        <v>5.87</v>
      </c>
    </row>
    <row r="5" spans="1:2">
      <c r="B5" s="4">
        <v>5.8760000000000003</v>
      </c>
    </row>
    <row r="6" spans="1:2">
      <c r="B6" s="4">
        <v>5.8769999999999998</v>
      </c>
    </row>
    <row r="7" spans="1:2">
      <c r="B7" s="4">
        <v>5.8659999999999997</v>
      </c>
    </row>
    <row r="8" spans="1:2">
      <c r="B8" s="4">
        <v>5.8719999999999999</v>
      </c>
    </row>
    <row r="9" spans="1:2">
      <c r="B9" s="4">
        <v>5.8719999999999999</v>
      </c>
    </row>
    <row r="10" spans="1:2">
      <c r="B10" s="4">
        <v>5.8710000000000004</v>
      </c>
    </row>
    <row r="11" spans="1:2">
      <c r="B11" s="4">
        <v>5.875</v>
      </c>
    </row>
    <row r="12" spans="1:2" ht="15.75" thickBot="1">
      <c r="B12" s="6">
        <v>5.875</v>
      </c>
    </row>
    <row r="13" spans="1:2">
      <c r="A13" t="s">
        <v>165</v>
      </c>
      <c r="B13" s="3">
        <f>AVERAGE(B$3:B12)</f>
        <v>5.8720999999999997</v>
      </c>
    </row>
    <row r="14" spans="1:2">
      <c r="A14" t="s">
        <v>166</v>
      </c>
      <c r="B14" s="7">
        <f>_xlfn.STDEV.S(B$3:B12)</f>
        <v>3.7252889522529854E-3</v>
      </c>
    </row>
    <row r="15" spans="1:2">
      <c r="A15" t="s">
        <v>167</v>
      </c>
      <c r="B15" s="3">
        <f>MIN(B$3:B12)</f>
        <v>5.8659999999999997</v>
      </c>
    </row>
    <row r="16" spans="1:2">
      <c r="A16" t="s">
        <v>168</v>
      </c>
      <c r="B16" s="3">
        <f>MAX(B$3:B12)</f>
        <v>5.8769999999999998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DA7A-8F89-4897-B6F0-8F824182BC09}">
  <dimension ref="A1:B16"/>
  <sheetViews>
    <sheetView zoomScale="130" zoomScaleNormal="130" workbookViewId="0"/>
  </sheetViews>
  <sheetFormatPr defaultRowHeight="15"/>
  <sheetData>
    <row r="1" spans="1:2">
      <c r="A1" s="10" t="s">
        <v>163</v>
      </c>
    </row>
    <row r="2" spans="1:2">
      <c r="B2" t="s">
        <v>164</v>
      </c>
    </row>
    <row r="3" spans="1:2">
      <c r="B3" s="3">
        <v>54.3</v>
      </c>
    </row>
    <row r="4" spans="1:2">
      <c r="B4" s="3">
        <v>54.31</v>
      </c>
    </row>
    <row r="5" spans="1:2">
      <c r="B5" s="3">
        <v>51.01</v>
      </c>
    </row>
    <row r="6" spans="1:2">
      <c r="B6" s="3">
        <v>59.51</v>
      </c>
    </row>
    <row r="7" spans="1:2">
      <c r="B7" s="3">
        <v>45.27</v>
      </c>
    </row>
    <row r="8" spans="1:2">
      <c r="B8" s="3">
        <v>44.73</v>
      </c>
    </row>
    <row r="9" spans="1:2">
      <c r="B9" s="3">
        <v>58.87</v>
      </c>
    </row>
    <row r="10" spans="1:2">
      <c r="B10" s="3">
        <v>61.23</v>
      </c>
    </row>
    <row r="11" spans="1:2">
      <c r="B11" s="3">
        <v>55.19</v>
      </c>
    </row>
    <row r="12" spans="1:2" ht="15.75" thickBot="1">
      <c r="B12" s="5">
        <v>54.39</v>
      </c>
    </row>
    <row r="13" spans="1:2">
      <c r="A13" t="s">
        <v>165</v>
      </c>
      <c r="B13" s="3">
        <f>AVERAGE(B$3:B12)</f>
        <v>53.881000000000007</v>
      </c>
    </row>
    <row r="14" spans="1:2">
      <c r="A14" t="s">
        <v>166</v>
      </c>
      <c r="B14" s="4">
        <f>_xlfn.STDEV.S(B$3:B12)</f>
        <v>5.5682481785367441</v>
      </c>
    </row>
    <row r="15" spans="1:2">
      <c r="A15" t="s">
        <v>167</v>
      </c>
      <c r="B15" s="3">
        <f>MIN(B$3:B12)</f>
        <v>44.73</v>
      </c>
    </row>
    <row r="16" spans="1:2">
      <c r="A16" t="s">
        <v>168</v>
      </c>
      <c r="B16" s="3">
        <f>MAX(B$3:B12)</f>
        <v>61.23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599A-CCC6-4DDB-9D40-96BDE03B8A29}">
  <dimension ref="A1:G12"/>
  <sheetViews>
    <sheetView zoomScaleNormal="100" workbookViewId="0">
      <selection activeCell="F3" sqref="F3"/>
    </sheetView>
  </sheetViews>
  <sheetFormatPr defaultRowHeight="15"/>
  <cols>
    <col min="1" max="1" width="13.7109375" customWidth="1"/>
    <col min="5" max="5" width="14" customWidth="1"/>
  </cols>
  <sheetData>
    <row r="1" spans="1:7">
      <c r="A1" s="10" t="s">
        <v>71</v>
      </c>
    </row>
    <row r="2" spans="1:7" ht="15.75" thickBot="1">
      <c r="A2" s="44"/>
      <c r="B2" s="44" t="s">
        <v>6</v>
      </c>
      <c r="C2" s="2"/>
      <c r="E2" s="2"/>
      <c r="F2" s="44" t="s">
        <v>7</v>
      </c>
      <c r="G2" s="2"/>
    </row>
    <row r="3" spans="1:7">
      <c r="A3" t="s">
        <v>184</v>
      </c>
      <c r="B3">
        <v>2.0030000000000001</v>
      </c>
      <c r="C3" t="s">
        <v>232</v>
      </c>
      <c r="E3" t="s">
        <v>184</v>
      </c>
      <c r="F3">
        <v>2.0030000000000001</v>
      </c>
      <c r="G3" t="s">
        <v>232</v>
      </c>
    </row>
    <row r="4" spans="1:7">
      <c r="B4">
        <f>B3*1000</f>
        <v>2003</v>
      </c>
      <c r="C4" t="s">
        <v>185</v>
      </c>
      <c r="F4">
        <f>F3*1000</f>
        <v>2003</v>
      </c>
      <c r="G4" t="s">
        <v>185</v>
      </c>
    </row>
    <row r="6" spans="1:7">
      <c r="A6" t="s">
        <v>186</v>
      </c>
      <c r="B6">
        <f>1/B4</f>
        <v>4.992511233150275E-4</v>
      </c>
      <c r="C6" t="s">
        <v>96</v>
      </c>
      <c r="E6" t="s">
        <v>186</v>
      </c>
      <c r="F6">
        <f>1/F4</f>
        <v>4.992511233150275E-4</v>
      </c>
      <c r="G6" t="s">
        <v>96</v>
      </c>
    </row>
    <row r="7" spans="1:7">
      <c r="B7" s="11">
        <f>B6/0.000001</f>
        <v>499.25112331502754</v>
      </c>
      <c r="C7" t="s">
        <v>50</v>
      </c>
      <c r="F7" s="11">
        <f>F6/0.000001</f>
        <v>499.25112331502754</v>
      </c>
      <c r="G7" t="s">
        <v>50</v>
      </c>
    </row>
    <row r="9" spans="1:7">
      <c r="A9" t="s">
        <v>187</v>
      </c>
      <c r="B9">
        <v>32.42</v>
      </c>
      <c r="C9" t="s">
        <v>50</v>
      </c>
      <c r="E9" t="s">
        <v>187</v>
      </c>
      <c r="F9">
        <v>31.84</v>
      </c>
      <c r="G9" t="s">
        <v>50</v>
      </c>
    </row>
    <row r="10" spans="1:7">
      <c r="B10">
        <f>B9*0.000001</f>
        <v>3.2419999999999998E-5</v>
      </c>
      <c r="C10" t="s">
        <v>96</v>
      </c>
      <c r="F10">
        <f>F9*0.000001</f>
        <v>3.184E-5</v>
      </c>
      <c r="G10" t="s">
        <v>96</v>
      </c>
    </row>
    <row r="11" spans="1:7" ht="15.75" thickBot="1">
      <c r="B11" s="2"/>
      <c r="F11" s="2"/>
    </row>
    <row r="12" spans="1:7">
      <c r="A12" t="s">
        <v>188</v>
      </c>
      <c r="B12" s="35">
        <f>B10/B6</f>
        <v>6.4937259999999997E-2</v>
      </c>
      <c r="E12" t="s">
        <v>188</v>
      </c>
      <c r="F12" s="35">
        <f>F10/F6</f>
        <v>6.3775520000000002E-2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F190-99FD-4ADF-AAC0-70725F637531}">
  <dimension ref="A1:C10"/>
  <sheetViews>
    <sheetView workbookViewId="0">
      <selection activeCell="B12" sqref="B12"/>
    </sheetView>
  </sheetViews>
  <sheetFormatPr defaultRowHeight="15"/>
  <cols>
    <col min="1" max="1" width="16.140625" customWidth="1"/>
    <col min="2" max="2" width="11" customWidth="1"/>
  </cols>
  <sheetData>
    <row r="1" spans="1:3">
      <c r="A1" s="10" t="s">
        <v>80</v>
      </c>
    </row>
    <row r="2" spans="1:3">
      <c r="A2" t="s">
        <v>184</v>
      </c>
      <c r="B2">
        <v>100.3</v>
      </c>
      <c r="C2" t="s">
        <v>185</v>
      </c>
    </row>
    <row r="4" spans="1:3">
      <c r="A4" t="s">
        <v>186</v>
      </c>
      <c r="B4">
        <f>1/B2</f>
        <v>9.9700897308075773E-3</v>
      </c>
      <c r="C4" t="s">
        <v>96</v>
      </c>
    </row>
    <row r="5" spans="1:3">
      <c r="B5" s="4">
        <f>B4/0.001</f>
        <v>9.9700897308075778</v>
      </c>
      <c r="C5" t="s">
        <v>42</v>
      </c>
    </row>
    <row r="7" spans="1:3">
      <c r="A7" t="s">
        <v>187</v>
      </c>
      <c r="B7">
        <v>3.2469999999999999</v>
      </c>
      <c r="C7" t="s">
        <v>50</v>
      </c>
    </row>
    <row r="8" spans="1:3">
      <c r="B8">
        <f>B7*0.000001</f>
        <v>3.2469999999999996E-6</v>
      </c>
      <c r="C8" t="s">
        <v>96</v>
      </c>
    </row>
    <row r="9" spans="1:3" ht="15.75" thickBot="1">
      <c r="B9" s="2"/>
    </row>
    <row r="10" spans="1:3">
      <c r="A10" t="s">
        <v>188</v>
      </c>
      <c r="B10" s="46">
        <f>B8/B4</f>
        <v>3.2567409999999995E-4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BE6-BCB8-499D-BC63-30EF26239245}">
  <dimension ref="A1:C10"/>
  <sheetViews>
    <sheetView workbookViewId="0">
      <selection activeCell="D12" sqref="D12"/>
    </sheetView>
  </sheetViews>
  <sheetFormatPr defaultRowHeight="15"/>
  <cols>
    <col min="1" max="1" width="13.28515625" customWidth="1"/>
  </cols>
  <sheetData>
    <row r="1" spans="1:3">
      <c r="A1" s="10" t="s">
        <v>248</v>
      </c>
    </row>
    <row r="2" spans="1:3">
      <c r="A2" t="s">
        <v>184</v>
      </c>
      <c r="B2">
        <v>1001</v>
      </c>
      <c r="C2" t="s">
        <v>185</v>
      </c>
    </row>
    <row r="4" spans="1:3">
      <c r="A4" t="s">
        <v>186</v>
      </c>
      <c r="B4">
        <f>1/B2</f>
        <v>9.99000999000999E-4</v>
      </c>
      <c r="C4" t="s">
        <v>96</v>
      </c>
    </row>
    <row r="5" spans="1:3">
      <c r="B5" s="4">
        <f>B4/0.001</f>
        <v>0.99900099900099892</v>
      </c>
      <c r="C5" t="s">
        <v>42</v>
      </c>
    </row>
    <row r="7" spans="1:3">
      <c r="A7" t="s">
        <v>187</v>
      </c>
      <c r="B7">
        <v>1.0620000000000001</v>
      </c>
      <c r="C7" t="s">
        <v>50</v>
      </c>
    </row>
    <row r="8" spans="1:3">
      <c r="B8">
        <f>B7*0.000001</f>
        <v>1.062E-6</v>
      </c>
      <c r="C8" t="s">
        <v>96</v>
      </c>
    </row>
    <row r="9" spans="1:3" ht="15.75" thickBot="1">
      <c r="B9" s="2"/>
    </row>
    <row r="10" spans="1:3">
      <c r="A10" t="s">
        <v>188</v>
      </c>
      <c r="B10" s="46">
        <f>B8/B4</f>
        <v>1.063062E-3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A323-D5A2-4CE9-B353-7628A4ED3453}">
  <dimension ref="A1:C18"/>
  <sheetViews>
    <sheetView workbookViewId="0">
      <selection activeCell="F8" sqref="F8"/>
    </sheetView>
  </sheetViews>
  <sheetFormatPr defaultRowHeight="15"/>
  <sheetData>
    <row r="1" spans="1:3">
      <c r="A1" s="10" t="s">
        <v>247</v>
      </c>
    </row>
    <row r="2" spans="1:3">
      <c r="A2" t="s">
        <v>214</v>
      </c>
      <c r="B2" s="33"/>
      <c r="C2" s="33"/>
    </row>
    <row r="3" spans="1:3">
      <c r="B3">
        <v>30.47</v>
      </c>
    </row>
    <row r="4" spans="1:3">
      <c r="B4" s="3">
        <v>30.48</v>
      </c>
    </row>
    <row r="5" spans="1:3">
      <c r="B5" s="3">
        <v>30.47</v>
      </c>
    </row>
    <row r="6" spans="1:3">
      <c r="B6" s="3">
        <v>30.46</v>
      </c>
    </row>
    <row r="7" spans="1:3">
      <c r="B7" s="3">
        <v>30.47</v>
      </c>
    </row>
    <row r="8" spans="1:3">
      <c r="B8" s="3">
        <v>30.48</v>
      </c>
    </row>
    <row r="9" spans="1:3">
      <c r="B9" s="3">
        <v>30.48</v>
      </c>
    </row>
    <row r="10" spans="1:3">
      <c r="B10" s="3">
        <v>30.47</v>
      </c>
    </row>
    <row r="11" spans="1:3">
      <c r="B11" s="3">
        <v>30.47</v>
      </c>
    </row>
    <row r="12" spans="1:3">
      <c r="B12" s="3">
        <v>30.48</v>
      </c>
    </row>
    <row r="13" spans="1:3">
      <c r="B13" s="3">
        <v>30.48</v>
      </c>
    </row>
    <row r="14" spans="1:3" ht="15.75" thickBot="1">
      <c r="B14" s="5">
        <v>30.47</v>
      </c>
    </row>
    <row r="15" spans="1:3">
      <c r="A15" t="s">
        <v>165</v>
      </c>
      <c r="B15" s="3">
        <f>AVERAGE(B$3:B14)</f>
        <v>30.47333333333334</v>
      </c>
    </row>
    <row r="16" spans="1:3">
      <c r="A16" t="s">
        <v>166</v>
      </c>
      <c r="B16" s="7">
        <f>_xlfn.STDEV.S(B$3:B14)</f>
        <v>6.5133894727896534E-3</v>
      </c>
    </row>
    <row r="17" spans="1:2">
      <c r="A17" t="s">
        <v>167</v>
      </c>
      <c r="B17" s="3">
        <f>MIN(B$3:B14)</f>
        <v>30.46</v>
      </c>
    </row>
    <row r="18" spans="1:2">
      <c r="A18" t="s">
        <v>168</v>
      </c>
      <c r="B18" s="3">
        <f>MAX(B$3:B14)</f>
        <v>30.48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AB75-7594-45F0-8710-AC0BAC920327}">
  <dimension ref="A1:R32"/>
  <sheetViews>
    <sheetView topLeftCell="A10" zoomScale="115" zoomScaleNormal="115" workbookViewId="0">
      <selection activeCell="D36" sqref="D36"/>
    </sheetView>
  </sheetViews>
  <sheetFormatPr defaultRowHeight="15"/>
  <cols>
    <col min="1" max="1" width="10.5703125" customWidth="1"/>
    <col min="5" max="5" width="12" customWidth="1"/>
    <col min="10" max="10" width="9.140625" customWidth="1"/>
  </cols>
  <sheetData>
    <row r="1" spans="1:18" ht="15.75" thickBot="1">
      <c r="A1" s="10" t="s">
        <v>68</v>
      </c>
      <c r="E1" s="115" t="s">
        <v>191</v>
      </c>
    </row>
    <row r="2" spans="1:18" ht="15.75" thickBot="1">
      <c r="A2" t="s">
        <v>186</v>
      </c>
      <c r="B2" s="11">
        <f>AVERAGE(E3:E12)</f>
        <v>495.65</v>
      </c>
      <c r="C2" t="s">
        <v>50</v>
      </c>
      <c r="E2" s="112" t="s">
        <v>222</v>
      </c>
    </row>
    <row r="3" spans="1:18">
      <c r="B3">
        <f>B2*0.000001</f>
        <v>4.9564999999999993E-4</v>
      </c>
      <c r="C3" t="s">
        <v>96</v>
      </c>
      <c r="E3" s="113">
        <v>498.9</v>
      </c>
    </row>
    <row r="4" spans="1:18">
      <c r="E4" s="113">
        <v>498.9</v>
      </c>
    </row>
    <row r="5" spans="1:18">
      <c r="A5" t="s">
        <v>224</v>
      </c>
      <c r="B5" s="3">
        <v>66.98</v>
      </c>
      <c r="C5" t="s">
        <v>225</v>
      </c>
      <c r="E5" s="113">
        <v>498.7</v>
      </c>
      <c r="L5" t="s">
        <v>253</v>
      </c>
    </row>
    <row r="6" spans="1:18" ht="15.75" thickBot="1">
      <c r="B6">
        <f>B5*0.000001</f>
        <v>6.6979999999999999E-5</v>
      </c>
      <c r="C6" t="s">
        <v>196</v>
      </c>
      <c r="E6" s="113">
        <v>498.7</v>
      </c>
    </row>
    <row r="7" spans="1:18" ht="15.75" thickBot="1">
      <c r="E7" s="113">
        <v>503.8</v>
      </c>
      <c r="L7" s="10" t="s">
        <v>68</v>
      </c>
      <c r="P7" s="148" t="s">
        <v>191</v>
      </c>
      <c r="Q7" s="149"/>
      <c r="R7" s="150"/>
    </row>
    <row r="8" spans="1:18" ht="15.75" thickBot="1">
      <c r="A8" t="s">
        <v>226</v>
      </c>
      <c r="B8" s="3">
        <v>3.1</v>
      </c>
      <c r="C8" t="s">
        <v>198</v>
      </c>
      <c r="E8" s="113">
        <v>498.9</v>
      </c>
      <c r="L8" t="s">
        <v>186</v>
      </c>
      <c r="M8" s="11">
        <f>AVERAGE(P9:P18)</f>
        <v>495.65</v>
      </c>
      <c r="N8" t="s">
        <v>50</v>
      </c>
      <c r="P8" s="13" t="s">
        <v>222</v>
      </c>
      <c r="Q8" s="14" t="s">
        <v>194</v>
      </c>
      <c r="R8" s="15" t="s">
        <v>223</v>
      </c>
    </row>
    <row r="9" spans="1:18">
      <c r="E9" s="113">
        <v>499</v>
      </c>
      <c r="M9">
        <f>M8*0.000001</f>
        <v>4.9564999999999993E-4</v>
      </c>
      <c r="N9" t="s">
        <v>96</v>
      </c>
      <c r="P9" s="16">
        <v>498.9</v>
      </c>
      <c r="Q9" s="12">
        <v>3.173</v>
      </c>
      <c r="R9" s="20">
        <v>91.76</v>
      </c>
    </row>
    <row r="10" spans="1:18">
      <c r="A10" t="s">
        <v>199</v>
      </c>
      <c r="B10">
        <f>B3*B8</f>
        <v>1.5365149999999998E-3</v>
      </c>
      <c r="C10" t="s">
        <v>196</v>
      </c>
      <c r="E10" s="113">
        <v>462</v>
      </c>
      <c r="P10" s="16">
        <v>498.9</v>
      </c>
      <c r="Q10" s="12">
        <v>3.165</v>
      </c>
      <c r="R10" s="20">
        <v>87.98</v>
      </c>
    </row>
    <row r="11" spans="1:18" ht="15.75" thickBot="1">
      <c r="B11" s="2"/>
      <c r="E11" s="113">
        <v>498.9</v>
      </c>
      <c r="L11" t="s">
        <v>224</v>
      </c>
      <c r="M11" s="11">
        <f>AVERAGE(R9:R18)</f>
        <v>85.786000000000016</v>
      </c>
      <c r="N11" t="s">
        <v>225</v>
      </c>
      <c r="P11" s="16">
        <v>498.7</v>
      </c>
      <c r="Q11" s="12">
        <v>3.0819999999999999</v>
      </c>
      <c r="R11" s="20">
        <v>58.1</v>
      </c>
    </row>
    <row r="12" spans="1:18" ht="15.75" thickBot="1">
      <c r="A12" t="s">
        <v>188</v>
      </c>
      <c r="B12" s="35">
        <f>B6/B10</f>
        <v>4.3592154974080963E-2</v>
      </c>
      <c r="E12" s="114">
        <v>498.7</v>
      </c>
      <c r="K12" s="17"/>
      <c r="M12">
        <f>M11*0.000001</f>
        <v>8.5786000000000008E-5</v>
      </c>
      <c r="N12" t="s">
        <v>196</v>
      </c>
      <c r="P12" s="16">
        <v>498.7</v>
      </c>
      <c r="Q12" s="12">
        <v>3.1669999999999998</v>
      </c>
      <c r="R12" s="20">
        <v>88.2</v>
      </c>
    </row>
    <row r="13" spans="1:18">
      <c r="P13" s="16">
        <v>503.8</v>
      </c>
      <c r="Q13" s="12">
        <v>3.1720000000000002</v>
      </c>
      <c r="R13" s="20">
        <v>89.06</v>
      </c>
    </row>
    <row r="14" spans="1:18">
      <c r="L14" t="s">
        <v>226</v>
      </c>
      <c r="M14" s="3">
        <f>AVERAGE(Q9:Q18)</f>
        <v>3.161</v>
      </c>
      <c r="N14" t="s">
        <v>198</v>
      </c>
      <c r="P14" s="16">
        <v>498.9</v>
      </c>
      <c r="Q14" s="12">
        <v>3.1749999999999998</v>
      </c>
      <c r="R14" s="20">
        <v>91.68</v>
      </c>
    </row>
    <row r="15" spans="1:18">
      <c r="P15" s="16">
        <v>499</v>
      </c>
      <c r="Q15" s="12">
        <v>3.1669999999999998</v>
      </c>
      <c r="R15" s="20">
        <v>86.35</v>
      </c>
    </row>
    <row r="16" spans="1:18">
      <c r="L16" t="s">
        <v>199</v>
      </c>
      <c r="M16">
        <f>M9*M14</f>
        <v>1.5667496499999999E-3</v>
      </c>
      <c r="N16" t="s">
        <v>196</v>
      </c>
      <c r="P16" s="16">
        <v>462</v>
      </c>
      <c r="Q16" s="12">
        <v>3.1709999999999998</v>
      </c>
      <c r="R16" s="20">
        <v>87.81</v>
      </c>
    </row>
    <row r="17" spans="1:18" ht="15.75" thickBot="1">
      <c r="M17" s="2"/>
      <c r="P17" s="16">
        <v>498.9</v>
      </c>
      <c r="Q17" s="12">
        <v>3.17</v>
      </c>
      <c r="R17" s="20">
        <v>89.84</v>
      </c>
    </row>
    <row r="18" spans="1:18" ht="15.75" thickBot="1">
      <c r="L18" t="s">
        <v>188</v>
      </c>
      <c r="M18" s="17">
        <f>M12/M16</f>
        <v>5.475412105565175E-2</v>
      </c>
      <c r="P18" s="18">
        <v>498.7</v>
      </c>
      <c r="Q18" s="19">
        <v>3.1680000000000001</v>
      </c>
      <c r="R18" s="21">
        <v>87.08</v>
      </c>
    </row>
    <row r="20" spans="1:18" ht="15.75" thickBot="1"/>
    <row r="21" spans="1:18" ht="15.75" thickBot="1">
      <c r="A21" s="10" t="s">
        <v>68</v>
      </c>
      <c r="E21" s="148" t="s">
        <v>191</v>
      </c>
      <c r="F21" s="149"/>
      <c r="G21" s="150"/>
    </row>
    <row r="22" spans="1:18" ht="15.75" thickBot="1">
      <c r="A22" t="s">
        <v>186</v>
      </c>
      <c r="B22" s="11">
        <f>AVERAGE(E23:E32)</f>
        <v>499.2</v>
      </c>
      <c r="C22" t="s">
        <v>50</v>
      </c>
      <c r="E22" s="13" t="s">
        <v>222</v>
      </c>
      <c r="F22" s="14" t="s">
        <v>194</v>
      </c>
      <c r="G22" s="15" t="s">
        <v>223</v>
      </c>
    </row>
    <row r="23" spans="1:18">
      <c r="B23">
        <f>B22*0.000001</f>
        <v>4.9919999999999999E-4</v>
      </c>
      <c r="C23" t="s">
        <v>96</v>
      </c>
      <c r="E23" s="16">
        <v>500</v>
      </c>
      <c r="F23" s="116">
        <v>3.28</v>
      </c>
      <c r="G23" s="117">
        <v>231.6</v>
      </c>
    </row>
    <row r="24" spans="1:18">
      <c r="E24" s="16">
        <v>500.1</v>
      </c>
      <c r="F24" s="116">
        <v>3.28</v>
      </c>
      <c r="G24" s="117">
        <v>232.6</v>
      </c>
    </row>
    <row r="25" spans="1:18">
      <c r="A25" t="s">
        <v>224</v>
      </c>
      <c r="B25" s="11">
        <v>220.7</v>
      </c>
      <c r="C25" t="s">
        <v>225</v>
      </c>
      <c r="E25" s="16">
        <v>500.3</v>
      </c>
      <c r="F25" s="116">
        <v>3.28</v>
      </c>
      <c r="G25" s="117">
        <v>231.9</v>
      </c>
    </row>
    <row r="26" spans="1:18">
      <c r="B26">
        <f>B25*0.000001</f>
        <v>2.2069999999999997E-4</v>
      </c>
      <c r="C26" t="s">
        <v>196</v>
      </c>
      <c r="E26" s="16">
        <v>499</v>
      </c>
      <c r="F26" s="116">
        <v>3.28</v>
      </c>
      <c r="G26" s="117">
        <v>288</v>
      </c>
    </row>
    <row r="27" spans="1:18">
      <c r="E27" s="16">
        <v>511.8</v>
      </c>
      <c r="F27" s="116">
        <v>3.28</v>
      </c>
      <c r="G27" s="117">
        <v>232.1</v>
      </c>
    </row>
    <row r="28" spans="1:18">
      <c r="A28" t="s">
        <v>226</v>
      </c>
      <c r="B28" s="3">
        <v>3.3</v>
      </c>
      <c r="C28" t="s">
        <v>198</v>
      </c>
      <c r="E28" s="16">
        <v>500.1</v>
      </c>
      <c r="F28" s="116">
        <v>3.28</v>
      </c>
      <c r="G28" s="117">
        <v>232.4</v>
      </c>
    </row>
    <row r="29" spans="1:18">
      <c r="E29" s="16">
        <v>500.1</v>
      </c>
      <c r="F29" s="116">
        <v>3.28</v>
      </c>
      <c r="G29" s="117">
        <v>231.7</v>
      </c>
    </row>
    <row r="30" spans="1:18">
      <c r="A30" t="s">
        <v>199</v>
      </c>
      <c r="B30">
        <f>B23*B28</f>
        <v>1.6473599999999998E-3</v>
      </c>
      <c r="C30" t="s">
        <v>196</v>
      </c>
      <c r="E30" s="16">
        <v>500</v>
      </c>
      <c r="F30" s="116">
        <v>3.28</v>
      </c>
      <c r="G30" s="117">
        <v>233.8</v>
      </c>
    </row>
    <row r="31" spans="1:18" ht="15.75" thickBot="1">
      <c r="B31" s="2"/>
      <c r="E31" s="16">
        <v>486.3</v>
      </c>
      <c r="F31" s="116">
        <v>3.28</v>
      </c>
      <c r="G31" s="117">
        <v>231.4</v>
      </c>
    </row>
    <row r="32" spans="1:18" ht="15.75" thickBot="1">
      <c r="A32" t="s">
        <v>188</v>
      </c>
      <c r="B32" s="17">
        <f>B26/B30</f>
        <v>0.13397193084693085</v>
      </c>
      <c r="E32" s="18">
        <v>494.3</v>
      </c>
      <c r="F32" s="19">
        <v>3.28</v>
      </c>
      <c r="G32" s="118">
        <v>232.8</v>
      </c>
    </row>
  </sheetData>
  <mergeCells count="2">
    <mergeCell ref="P7:R7"/>
    <mergeCell ref="E21:G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0BCF-E3ED-4478-A95B-ED3EBB27240D}">
  <dimension ref="A1:B16"/>
  <sheetViews>
    <sheetView workbookViewId="0">
      <selection activeCell="I20" sqref="I20"/>
    </sheetView>
  </sheetViews>
  <sheetFormatPr defaultRowHeight="15"/>
  <sheetData>
    <row r="1" spans="1:2">
      <c r="A1" s="10" t="s">
        <v>100</v>
      </c>
    </row>
    <row r="2" spans="1:2">
      <c r="B2" t="s">
        <v>215</v>
      </c>
    </row>
    <row r="3" spans="1:2">
      <c r="B3" s="4">
        <v>1.478</v>
      </c>
    </row>
    <row r="4" spans="1:2">
      <c r="B4" s="4">
        <v>1.4790000000000001</v>
      </c>
    </row>
    <row r="5" spans="1:2">
      <c r="B5" s="4">
        <v>1.466</v>
      </c>
    </row>
    <row r="6" spans="1:2">
      <c r="B6" s="4">
        <v>1.4610000000000001</v>
      </c>
    </row>
    <row r="7" spans="1:2">
      <c r="B7" s="4">
        <v>1.4490000000000001</v>
      </c>
    </row>
    <row r="8" spans="1:2">
      <c r="B8" s="4">
        <v>1.476</v>
      </c>
    </row>
    <row r="9" spans="1:2">
      <c r="B9" s="4">
        <v>1.484</v>
      </c>
    </row>
    <row r="10" spans="1:2">
      <c r="B10" s="4">
        <v>1.4770000000000001</v>
      </c>
    </row>
    <row r="11" spans="1:2">
      <c r="B11" s="4">
        <v>1.478</v>
      </c>
    </row>
    <row r="12" spans="1:2" ht="15.75" thickBot="1">
      <c r="B12" s="6">
        <v>1.458</v>
      </c>
    </row>
    <row r="13" spans="1:2">
      <c r="A13" t="s">
        <v>165</v>
      </c>
      <c r="B13" s="11">
        <f>AVERAGE(B$3:B12)</f>
        <v>1.4706000000000001</v>
      </c>
    </row>
    <row r="14" spans="1:2">
      <c r="A14" t="s">
        <v>166</v>
      </c>
      <c r="B14" s="3">
        <f>_xlfn.STDEV.S(B$3:B12)</f>
        <v>1.1393955512561125E-2</v>
      </c>
    </row>
    <row r="15" spans="1:2">
      <c r="A15" t="s">
        <v>167</v>
      </c>
      <c r="B15" s="11">
        <f>MIN(B$3:B12)</f>
        <v>1.4490000000000001</v>
      </c>
    </row>
    <row r="16" spans="1:2">
      <c r="A16" t="s">
        <v>168</v>
      </c>
      <c r="B16" s="11">
        <f>MAX(B$3:B12)</f>
        <v>1.484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5D00-D937-46FC-959D-90D4A1593749}">
  <dimension ref="A1:C17"/>
  <sheetViews>
    <sheetView zoomScale="130" zoomScaleNormal="130" workbookViewId="0">
      <selection activeCell="B17" sqref="A14:B17"/>
    </sheetView>
  </sheetViews>
  <sheetFormatPr defaultRowHeight="15"/>
  <cols>
    <col min="2" max="2" width="19.42578125" customWidth="1"/>
  </cols>
  <sheetData>
    <row r="1" spans="1:3">
      <c r="A1" s="10" t="s">
        <v>216</v>
      </c>
    </row>
    <row r="2" spans="1:3">
      <c r="A2" s="151" t="s">
        <v>28</v>
      </c>
      <c r="B2" s="151"/>
      <c r="C2" s="151"/>
    </row>
    <row r="3" spans="1:3">
      <c r="B3" t="s">
        <v>164</v>
      </c>
    </row>
    <row r="4" spans="1:3">
      <c r="B4" s="3">
        <v>22.94</v>
      </c>
    </row>
    <row r="5" spans="1:3">
      <c r="B5" s="3">
        <v>22.91</v>
      </c>
    </row>
    <row r="6" spans="1:3">
      <c r="B6" s="3">
        <v>22.89</v>
      </c>
    </row>
    <row r="7" spans="1:3">
      <c r="B7" s="3">
        <v>22.98</v>
      </c>
    </row>
    <row r="8" spans="1:3">
      <c r="B8" s="3">
        <v>22.93</v>
      </c>
    </row>
    <row r="9" spans="1:3">
      <c r="B9" s="3">
        <v>22.92</v>
      </c>
    </row>
    <row r="10" spans="1:3">
      <c r="B10" s="3">
        <v>22.91</v>
      </c>
    </row>
    <row r="11" spans="1:3">
      <c r="B11" s="3">
        <v>22.91</v>
      </c>
    </row>
    <row r="12" spans="1:3">
      <c r="B12" s="3">
        <v>22.9</v>
      </c>
    </row>
    <row r="13" spans="1:3" ht="15.75" thickBot="1">
      <c r="B13" s="5">
        <v>22.92</v>
      </c>
    </row>
    <row r="14" spans="1:3">
      <c r="A14" t="s">
        <v>165</v>
      </c>
      <c r="B14" s="3">
        <f>AVERAGE(B$4:B13)</f>
        <v>22.920999999999999</v>
      </c>
    </row>
    <row r="15" spans="1:3">
      <c r="A15" t="s">
        <v>166</v>
      </c>
      <c r="B15" s="7">
        <f>_xlfn.STDEV.S(B$4:B13)</f>
        <v>2.5144029554195035E-2</v>
      </c>
    </row>
    <row r="16" spans="1:3">
      <c r="A16" t="s">
        <v>167</v>
      </c>
      <c r="B16" s="3">
        <f>MIN(B$4:B13)</f>
        <v>22.89</v>
      </c>
    </row>
    <row r="17" spans="1:2">
      <c r="A17" t="s">
        <v>168</v>
      </c>
      <c r="B17" s="3">
        <f>MAX(B$4:B13)</f>
        <v>22.98</v>
      </c>
    </row>
  </sheetData>
  <mergeCells count="1"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93C7-0014-43DD-9D84-FF15DCAFC44A}">
  <dimension ref="A1:B16"/>
  <sheetViews>
    <sheetView workbookViewId="0"/>
  </sheetViews>
  <sheetFormatPr defaultRowHeight="15"/>
  <sheetData>
    <row r="1" spans="1:2">
      <c r="A1" s="1" t="s">
        <v>13</v>
      </c>
    </row>
    <row r="2" spans="1:2">
      <c r="B2" t="s">
        <v>178</v>
      </c>
    </row>
    <row r="3" spans="1:2">
      <c r="B3">
        <v>4.0049999999999999</v>
      </c>
    </row>
    <row r="4" spans="1:2">
      <c r="B4">
        <v>3.9940000000000002</v>
      </c>
    </row>
    <row r="5" spans="1:2">
      <c r="B5">
        <v>3.9969999999999999</v>
      </c>
    </row>
    <row r="6" spans="1:2">
      <c r="B6">
        <v>3.9990000000000001</v>
      </c>
    </row>
    <row r="7" spans="1:2">
      <c r="B7">
        <v>3.9990000000000001</v>
      </c>
    </row>
    <row r="8" spans="1:2">
      <c r="B8">
        <v>3.9980000000000002</v>
      </c>
    </row>
    <row r="9" spans="1:2">
      <c r="B9">
        <v>3.9980000000000002</v>
      </c>
    </row>
    <row r="10" spans="1:2">
      <c r="B10">
        <v>3.9990000000000001</v>
      </c>
    </row>
    <row r="11" spans="1:2">
      <c r="B11">
        <v>3.9980000000000002</v>
      </c>
    </row>
    <row r="12" spans="1:2">
      <c r="B12">
        <v>3.9980000000000002</v>
      </c>
    </row>
    <row r="13" spans="1:2" ht="30.75" customHeight="1">
      <c r="A13" t="s">
        <v>165</v>
      </c>
      <c r="B13">
        <f>AVERAGE(B$3:B12)</f>
        <v>3.9984999999999999</v>
      </c>
    </row>
    <row r="14" spans="1:2">
      <c r="A14" t="s">
        <v>166</v>
      </c>
      <c r="B14">
        <f>_xlfn.STDEV.S(B$3:B12)</f>
        <v>2.7182510717166093E-3</v>
      </c>
    </row>
    <row r="15" spans="1:2">
      <c r="A15" t="s">
        <v>217</v>
      </c>
      <c r="B15">
        <f>MIN(B$3:B12)</f>
        <v>3.9940000000000002</v>
      </c>
    </row>
    <row r="16" spans="1:2">
      <c r="A16" t="s">
        <v>218</v>
      </c>
      <c r="B16">
        <f>MAX(B$3:B12)</f>
        <v>4.0049999999999999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7B4E-C4BD-4447-9221-000D87BC5CED}">
  <dimension ref="A1:L20"/>
  <sheetViews>
    <sheetView zoomScale="115" zoomScaleNormal="115" workbookViewId="0">
      <selection activeCell="N26" sqref="N26"/>
    </sheetView>
  </sheetViews>
  <sheetFormatPr defaultRowHeight="15"/>
  <cols>
    <col min="1" max="1" width="18.42578125" customWidth="1"/>
    <col min="2" max="2" width="10.42578125" customWidth="1"/>
    <col min="5" max="5" width="10.85546875" customWidth="1"/>
    <col min="6" max="6" width="11.28515625" customWidth="1"/>
    <col min="7" max="7" width="19" customWidth="1"/>
    <col min="10" max="10" width="9.7109375" customWidth="1"/>
    <col min="11" max="11" width="11" customWidth="1"/>
    <col min="12" max="12" width="12.5703125" customWidth="1"/>
    <col min="13" max="13" width="10.85546875" customWidth="1"/>
  </cols>
  <sheetData>
    <row r="1" spans="1:12">
      <c r="A1" s="158" t="s">
        <v>77</v>
      </c>
      <c r="B1" s="152"/>
      <c r="C1" s="152"/>
      <c r="D1" s="152"/>
      <c r="E1" s="153"/>
      <c r="G1" s="161"/>
      <c r="H1" s="154"/>
      <c r="I1" s="154"/>
      <c r="J1" s="154"/>
      <c r="K1" s="154"/>
      <c r="L1" s="154"/>
    </row>
    <row r="2" spans="1:12">
      <c r="A2" s="38" t="s">
        <v>192</v>
      </c>
      <c r="B2" s="155">
        <f>AVERAGE(E6:E15)</f>
        <v>100.08900000000001</v>
      </c>
      <c r="C2" s="154" t="s">
        <v>42</v>
      </c>
      <c r="D2" s="154"/>
      <c r="E2" s="39"/>
      <c r="G2" s="161"/>
      <c r="H2" s="154"/>
      <c r="I2" s="154"/>
      <c r="J2" s="154"/>
      <c r="K2" s="154"/>
      <c r="L2" s="154"/>
    </row>
    <row r="3" spans="1:12" ht="15.75" thickBot="1">
      <c r="A3" s="38"/>
      <c r="B3" s="154">
        <f>B2*1000</f>
        <v>100089.00000000001</v>
      </c>
      <c r="C3" s="154" t="s">
        <v>50</v>
      </c>
      <c r="D3" s="154"/>
      <c r="E3" s="39"/>
      <c r="G3" s="154"/>
      <c r="H3" s="155"/>
      <c r="I3" s="154"/>
      <c r="J3" s="154"/>
      <c r="K3" s="154"/>
      <c r="L3" s="154"/>
    </row>
    <row r="4" spans="1:12" ht="15.75" thickBot="1">
      <c r="A4" s="38"/>
      <c r="B4" s="154"/>
      <c r="C4" s="154"/>
      <c r="D4" s="154"/>
      <c r="E4" s="107" t="s">
        <v>191</v>
      </c>
      <c r="G4" s="154"/>
      <c r="H4" s="154"/>
      <c r="I4" s="154"/>
      <c r="J4" s="154"/>
      <c r="K4" s="154"/>
      <c r="L4" s="154"/>
    </row>
    <row r="5" spans="1:12">
      <c r="A5" s="38" t="s">
        <v>195</v>
      </c>
      <c r="B5" s="156">
        <v>15.49</v>
      </c>
      <c r="C5" s="154" t="s">
        <v>225</v>
      </c>
      <c r="D5" s="154"/>
      <c r="E5" s="108" t="s">
        <v>193</v>
      </c>
      <c r="G5" s="154"/>
      <c r="H5" s="154"/>
      <c r="I5" s="154"/>
      <c r="J5" s="154"/>
      <c r="K5" s="161"/>
      <c r="L5" s="154"/>
    </row>
    <row r="6" spans="1:12">
      <c r="A6" s="38"/>
      <c r="B6" s="154"/>
      <c r="C6" s="154"/>
      <c r="D6" s="154"/>
      <c r="E6" s="109">
        <v>100.1</v>
      </c>
      <c r="G6" s="154"/>
      <c r="H6" s="156"/>
      <c r="I6" s="154"/>
      <c r="J6" s="154"/>
      <c r="K6" s="162"/>
      <c r="L6" s="154"/>
    </row>
    <row r="7" spans="1:12">
      <c r="A7" s="38" t="s">
        <v>251</v>
      </c>
      <c r="B7" s="154">
        <v>25</v>
      </c>
      <c r="C7" s="154"/>
      <c r="D7" s="154"/>
      <c r="E7" s="110">
        <v>100.1</v>
      </c>
      <c r="G7" s="154"/>
      <c r="H7" s="154"/>
      <c r="I7" s="154"/>
      <c r="J7" s="154"/>
      <c r="K7" s="163"/>
      <c r="L7" s="154"/>
    </row>
    <row r="8" spans="1:12">
      <c r="A8" s="38" t="s">
        <v>252</v>
      </c>
      <c r="B8" s="154">
        <f>B7*B5</f>
        <v>387.25</v>
      </c>
      <c r="C8" s="154" t="s">
        <v>225</v>
      </c>
      <c r="D8" s="154"/>
      <c r="E8" s="110">
        <v>100.1</v>
      </c>
      <c r="G8" s="154"/>
      <c r="H8" s="154"/>
      <c r="I8" s="154"/>
      <c r="J8" s="154"/>
      <c r="K8" s="163"/>
      <c r="L8" s="154"/>
    </row>
    <row r="9" spans="1:12">
      <c r="A9" s="38"/>
      <c r="B9" s="154"/>
      <c r="C9" s="154"/>
      <c r="D9" s="154"/>
      <c r="E9" s="110">
        <v>100.1</v>
      </c>
      <c r="G9" s="154"/>
      <c r="H9" s="154"/>
      <c r="I9" s="154"/>
      <c r="J9" s="154"/>
      <c r="K9" s="163"/>
      <c r="L9" s="154"/>
    </row>
    <row r="10" spans="1:12">
      <c r="A10" s="38"/>
      <c r="B10" s="154"/>
      <c r="C10" s="154"/>
      <c r="D10" s="154"/>
      <c r="E10" s="110">
        <v>100.1</v>
      </c>
      <c r="G10" s="154"/>
      <c r="H10" s="154"/>
      <c r="I10" s="154"/>
      <c r="J10" s="154"/>
      <c r="K10" s="163"/>
      <c r="L10" s="154"/>
    </row>
    <row r="11" spans="1:12">
      <c r="A11" s="38" t="s">
        <v>197</v>
      </c>
      <c r="B11" s="159">
        <v>3.06</v>
      </c>
      <c r="C11" s="154" t="s">
        <v>198</v>
      </c>
      <c r="D11" s="154"/>
      <c r="E11" s="110">
        <v>100.1</v>
      </c>
      <c r="G11" s="154"/>
      <c r="H11" s="154"/>
      <c r="I11" s="154"/>
      <c r="J11" s="154"/>
      <c r="K11" s="163"/>
      <c r="L11" s="154"/>
    </row>
    <row r="12" spans="1:12">
      <c r="A12" s="38"/>
      <c r="B12" s="154"/>
      <c r="C12" s="154"/>
      <c r="D12" s="154"/>
      <c r="E12" s="110">
        <v>100.1</v>
      </c>
      <c r="G12" s="154"/>
      <c r="H12" s="156"/>
      <c r="I12" s="154"/>
      <c r="J12" s="154"/>
      <c r="K12" s="163"/>
      <c r="L12" s="154"/>
    </row>
    <row r="13" spans="1:12">
      <c r="A13" s="38" t="s">
        <v>199</v>
      </c>
      <c r="B13" s="154">
        <f>B3*B11</f>
        <v>306272.34000000003</v>
      </c>
      <c r="C13" s="154" t="s">
        <v>225</v>
      </c>
      <c r="D13" s="154"/>
      <c r="E13" s="110">
        <v>100.1</v>
      </c>
      <c r="G13" s="154"/>
      <c r="H13" s="154"/>
      <c r="I13" s="154"/>
      <c r="J13" s="154"/>
      <c r="K13" s="163"/>
      <c r="L13" s="154"/>
    </row>
    <row r="14" spans="1:12" ht="15.75" thickBot="1">
      <c r="A14" s="38"/>
      <c r="B14" s="2"/>
      <c r="C14" s="154"/>
      <c r="D14" s="154"/>
      <c r="E14" s="110">
        <v>99.99</v>
      </c>
      <c r="G14" s="154"/>
      <c r="H14" s="154"/>
      <c r="I14" s="154"/>
      <c r="J14" s="154"/>
      <c r="K14" s="163"/>
      <c r="L14" s="154"/>
    </row>
    <row r="15" spans="1:12" ht="15.75" thickBot="1">
      <c r="A15" s="40" t="s">
        <v>188</v>
      </c>
      <c r="B15" s="160">
        <f>B8/B13</f>
        <v>1.2643975619868251E-3</v>
      </c>
      <c r="C15" s="2"/>
      <c r="D15" s="2"/>
      <c r="E15" s="111">
        <v>100.1</v>
      </c>
      <c r="G15" s="154"/>
      <c r="H15" s="154"/>
      <c r="I15" s="154"/>
      <c r="J15" s="154"/>
      <c r="K15" s="163"/>
      <c r="L15" s="154"/>
    </row>
    <row r="16" spans="1:12">
      <c r="G16" s="154"/>
      <c r="H16" s="157"/>
      <c r="I16" s="154"/>
      <c r="J16" s="154"/>
      <c r="K16" s="163"/>
      <c r="L16" s="154"/>
    </row>
    <row r="17" spans="7:12">
      <c r="G17" s="154"/>
      <c r="H17" s="154"/>
      <c r="I17" s="154"/>
      <c r="J17" s="154"/>
      <c r="K17" s="154"/>
      <c r="L17" s="154"/>
    </row>
    <row r="18" spans="7:12">
      <c r="G18" s="154"/>
      <c r="H18" s="154"/>
      <c r="I18" s="154"/>
      <c r="J18" s="154"/>
      <c r="K18" s="154"/>
      <c r="L18" s="154"/>
    </row>
    <row r="19" spans="7:12">
      <c r="G19" s="154"/>
      <c r="H19" s="154"/>
      <c r="I19" s="154"/>
      <c r="J19" s="154"/>
      <c r="K19" s="154"/>
      <c r="L19" s="154"/>
    </row>
    <row r="20" spans="7:12">
      <c r="G20" s="154"/>
      <c r="H20" s="154"/>
      <c r="I20" s="154"/>
      <c r="J20" s="154"/>
      <c r="K20" s="154"/>
      <c r="L20" s="15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E050-0AB5-4815-8CA1-65CAB5C5E753}">
  <dimension ref="A1:B16"/>
  <sheetViews>
    <sheetView workbookViewId="0">
      <selection activeCell="D33" sqref="D33"/>
    </sheetView>
  </sheetViews>
  <sheetFormatPr defaultRowHeight="15"/>
  <sheetData>
    <row r="1" spans="1:2">
      <c r="A1" s="1" t="s">
        <v>89</v>
      </c>
    </row>
    <row r="2" spans="1:2">
      <c r="B2" t="s">
        <v>164</v>
      </c>
    </row>
    <row r="3" spans="1:2">
      <c r="B3">
        <v>8.2899999999999991</v>
      </c>
    </row>
    <row r="4" spans="1:2">
      <c r="B4">
        <v>8.2919999999999998</v>
      </c>
    </row>
    <row r="5" spans="1:2">
      <c r="B5">
        <v>8.2919999999999998</v>
      </c>
    </row>
    <row r="6" spans="1:2">
      <c r="B6">
        <v>8.2919999999999998</v>
      </c>
    </row>
    <row r="7" spans="1:2">
      <c r="B7">
        <v>8.2910000000000004</v>
      </c>
    </row>
    <row r="8" spans="1:2">
      <c r="B8">
        <v>8.2899999999999991</v>
      </c>
    </row>
    <row r="9" spans="1:2">
      <c r="B9">
        <v>8.2910000000000004</v>
      </c>
    </row>
    <row r="10" spans="1:2">
      <c r="B10">
        <v>8.2910000000000004</v>
      </c>
    </row>
    <row r="11" spans="1:2">
      <c r="B11">
        <v>8.2899999999999991</v>
      </c>
    </row>
    <row r="12" spans="1:2">
      <c r="B12">
        <v>8.2910000000000004</v>
      </c>
    </row>
    <row r="13" spans="1:2" ht="28.5" customHeight="1">
      <c r="A13" t="s">
        <v>165</v>
      </c>
      <c r="B13">
        <f>AVERAGE(B$3:B12)</f>
        <v>8.2910000000000004</v>
      </c>
    </row>
    <row r="14" spans="1:2">
      <c r="A14" t="s">
        <v>166</v>
      </c>
      <c r="B14">
        <f>_xlfn.STDEV.S(B$3:B12)</f>
        <v>8.1649658092799874E-4</v>
      </c>
    </row>
    <row r="15" spans="1:2">
      <c r="A15" t="s">
        <v>217</v>
      </c>
      <c r="B15">
        <f>MIN(B$3:B12)</f>
        <v>8.2899999999999991</v>
      </c>
    </row>
    <row r="16" spans="1:2">
      <c r="A16" t="s">
        <v>218</v>
      </c>
      <c r="B16">
        <f>MAX(B$3:B12)</f>
        <v>8.2919999999999998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D0DB-D6DB-4556-BE55-870D2D332DC6}">
  <dimension ref="A1:B16"/>
  <sheetViews>
    <sheetView workbookViewId="0"/>
  </sheetViews>
  <sheetFormatPr defaultRowHeight="15"/>
  <sheetData>
    <row r="1" spans="1:2">
      <c r="A1" s="1" t="s">
        <v>16</v>
      </c>
    </row>
    <row r="2" spans="1:2">
      <c r="B2" t="s">
        <v>164</v>
      </c>
    </row>
    <row r="3" spans="1:2">
      <c r="B3">
        <v>984.3</v>
      </c>
    </row>
    <row r="4" spans="1:2">
      <c r="B4">
        <v>984.2</v>
      </c>
    </row>
    <row r="5" spans="1:2">
      <c r="B5">
        <v>984.3</v>
      </c>
    </row>
    <row r="6" spans="1:2">
      <c r="B6">
        <v>984.6</v>
      </c>
    </row>
    <row r="7" spans="1:2">
      <c r="B7">
        <v>984.2</v>
      </c>
    </row>
    <row r="8" spans="1:2">
      <c r="B8">
        <v>984.2</v>
      </c>
    </row>
    <row r="9" spans="1:2">
      <c r="B9">
        <v>984.2</v>
      </c>
    </row>
    <row r="10" spans="1:2">
      <c r="B10">
        <v>984.4</v>
      </c>
    </row>
    <row r="11" spans="1:2">
      <c r="B11">
        <v>984</v>
      </c>
    </row>
    <row r="12" spans="1:2">
      <c r="B12">
        <v>984.2</v>
      </c>
    </row>
    <row r="13" spans="1:2" ht="29.25" customHeight="1">
      <c r="A13" t="s">
        <v>165</v>
      </c>
      <c r="B13">
        <f>AVERAGE(B$3:B12)</f>
        <v>984.26</v>
      </c>
    </row>
    <row r="14" spans="1:2">
      <c r="A14" t="s">
        <v>166</v>
      </c>
      <c r="B14">
        <f>_xlfn.STDEV.S(B$3:B12)</f>
        <v>0.15776212754931412</v>
      </c>
    </row>
    <row r="15" spans="1:2">
      <c r="A15" t="s">
        <v>217</v>
      </c>
      <c r="B15">
        <f>MIN(B$3:B12)</f>
        <v>984</v>
      </c>
    </row>
    <row r="16" spans="1:2">
      <c r="A16" t="s">
        <v>218</v>
      </c>
      <c r="B16">
        <f>MAX(B$3:B12)</f>
        <v>984.6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B399-2D2F-4EB1-94AA-4B07ACAFA63A}">
  <dimension ref="A1:H17"/>
  <sheetViews>
    <sheetView workbookViewId="0">
      <selection activeCell="L22" sqref="L22"/>
    </sheetView>
  </sheetViews>
  <sheetFormatPr defaultRowHeight="15"/>
  <sheetData>
    <row r="1" spans="1:8">
      <c r="A1" s="1" t="s">
        <v>221</v>
      </c>
      <c r="G1" s="1" t="s">
        <v>219</v>
      </c>
    </row>
    <row r="2" spans="1:8">
      <c r="B2" t="s">
        <v>164</v>
      </c>
      <c r="H2" t="s">
        <v>164</v>
      </c>
    </row>
    <row r="3" spans="1:8">
      <c r="B3">
        <v>91.12</v>
      </c>
      <c r="H3">
        <v>197.8</v>
      </c>
    </row>
    <row r="4" spans="1:8">
      <c r="B4">
        <v>97.09</v>
      </c>
      <c r="H4">
        <v>184.2</v>
      </c>
    </row>
    <row r="5" spans="1:8">
      <c r="B5">
        <v>99.58</v>
      </c>
      <c r="H5">
        <v>200.1</v>
      </c>
    </row>
    <row r="6" spans="1:8">
      <c r="B6">
        <v>94.16</v>
      </c>
      <c r="H6">
        <v>200</v>
      </c>
    </row>
    <row r="7" spans="1:8">
      <c r="B7">
        <v>99.37</v>
      </c>
      <c r="H7">
        <v>192.8</v>
      </c>
    </row>
    <row r="8" spans="1:8">
      <c r="B8">
        <v>97.32</v>
      </c>
      <c r="H8">
        <v>191.6</v>
      </c>
    </row>
    <row r="9" spans="1:8">
      <c r="B9">
        <v>97.17</v>
      </c>
      <c r="H9">
        <v>193.5</v>
      </c>
    </row>
    <row r="10" spans="1:8">
      <c r="B10">
        <v>100.6</v>
      </c>
      <c r="H10">
        <v>191.8</v>
      </c>
    </row>
    <row r="11" spans="1:8">
      <c r="B11">
        <v>90.22</v>
      </c>
      <c r="H11">
        <v>198</v>
      </c>
    </row>
    <row r="12" spans="1:8">
      <c r="B12">
        <v>92.09</v>
      </c>
      <c r="H12">
        <v>194.4</v>
      </c>
    </row>
    <row r="14" spans="1:8">
      <c r="A14" t="s">
        <v>165</v>
      </c>
      <c r="B14">
        <f>AVERAGE(B$3:B12)</f>
        <v>95.872000000000014</v>
      </c>
      <c r="G14" t="s">
        <v>220</v>
      </c>
      <c r="H14">
        <f>AVERAGE(H$3:H12)</f>
        <v>194.42000000000002</v>
      </c>
    </row>
    <row r="15" spans="1:8">
      <c r="A15" t="s">
        <v>166</v>
      </c>
      <c r="B15">
        <f>_xlfn.STDEV.S(B$3:B12)</f>
        <v>3.732222453772609</v>
      </c>
      <c r="G15" t="s">
        <v>166</v>
      </c>
      <c r="H15">
        <f>_xlfn.STDEV.S(H$3:H12)</f>
        <v>4.8347813922773311</v>
      </c>
    </row>
    <row r="16" spans="1:8">
      <c r="A16" t="s">
        <v>217</v>
      </c>
      <c r="B16">
        <f>MIN(B$3:B12)</f>
        <v>90.22</v>
      </c>
      <c r="G16" t="s">
        <v>217</v>
      </c>
      <c r="H16">
        <f>MIN(H$3:H12)</f>
        <v>184.2</v>
      </c>
    </row>
    <row r="17" spans="1:8">
      <c r="A17" t="s">
        <v>218</v>
      </c>
      <c r="B17">
        <f>MAX(B$3:B12)</f>
        <v>100.6</v>
      </c>
      <c r="G17" t="s">
        <v>218</v>
      </c>
      <c r="H17">
        <f>MAX(H$3:H12)</f>
        <v>200.1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13CA-8F49-4E2A-B79E-890A212BE646}">
  <dimension ref="A1:B23"/>
  <sheetViews>
    <sheetView workbookViewId="0">
      <selection activeCell="B24" sqref="A20:B24"/>
    </sheetView>
  </sheetViews>
  <sheetFormatPr defaultRowHeight="15"/>
  <sheetData>
    <row r="1" spans="1:2">
      <c r="A1" s="1" t="s">
        <v>21</v>
      </c>
    </row>
    <row r="2" spans="1:2">
      <c r="B2" t="s">
        <v>227</v>
      </c>
    </row>
    <row r="3" spans="1:2">
      <c r="B3">
        <v>50.72</v>
      </c>
    </row>
    <row r="4" spans="1:2">
      <c r="B4">
        <v>31.16</v>
      </c>
    </row>
    <row r="5" spans="1:2">
      <c r="B5">
        <v>31.17</v>
      </c>
    </row>
    <row r="6" spans="1:2">
      <c r="B6">
        <v>31.16</v>
      </c>
    </row>
    <row r="7" spans="1:2">
      <c r="B7">
        <v>31.17</v>
      </c>
    </row>
    <row r="8" spans="1:2">
      <c r="B8">
        <v>31.17</v>
      </c>
    </row>
    <row r="9" spans="1:2">
      <c r="B9">
        <v>31.16</v>
      </c>
    </row>
    <row r="10" spans="1:2">
      <c r="B10">
        <v>31.17</v>
      </c>
    </row>
    <row r="11" spans="1:2">
      <c r="B11">
        <v>31.17</v>
      </c>
    </row>
    <row r="12" spans="1:2">
      <c r="B12">
        <v>31.17</v>
      </c>
    </row>
    <row r="13" spans="1:2">
      <c r="B13">
        <v>31.17</v>
      </c>
    </row>
    <row r="14" spans="1:2">
      <c r="B14">
        <v>31.17</v>
      </c>
    </row>
    <row r="15" spans="1:2">
      <c r="B15">
        <v>31.17</v>
      </c>
    </row>
    <row r="16" spans="1:2">
      <c r="B16">
        <v>31.17</v>
      </c>
    </row>
    <row r="17" spans="1:2">
      <c r="B17">
        <v>31.17</v>
      </c>
    </row>
    <row r="18" spans="1:2">
      <c r="B18">
        <v>31.17</v>
      </c>
    </row>
    <row r="19" spans="1:2">
      <c r="B19">
        <v>31.17</v>
      </c>
    </row>
    <row r="20" spans="1:2">
      <c r="A20" t="s">
        <v>165</v>
      </c>
      <c r="B20">
        <f>AVERAGE(B$3:B19)</f>
        <v>32.318235294117649</v>
      </c>
    </row>
    <row r="21" spans="1:2">
      <c r="A21" t="s">
        <v>166</v>
      </c>
      <c r="B21">
        <f>_xlfn.STDEV.S(B$3:B18)</f>
        <v>4.8880016366608858</v>
      </c>
    </row>
    <row r="22" spans="1:2">
      <c r="A22" t="s">
        <v>217</v>
      </c>
      <c r="B22">
        <f>MIN(B$3:B18)</f>
        <v>31.16</v>
      </c>
    </row>
    <row r="23" spans="1:2">
      <c r="A23" t="s">
        <v>218</v>
      </c>
      <c r="B23">
        <f>MAX(B$3:B18)</f>
        <v>50.72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BAD2-5382-4FFD-B962-C2BE584D2406}">
  <dimension ref="A1:B39"/>
  <sheetViews>
    <sheetView zoomScale="55" zoomScaleNormal="55" workbookViewId="0"/>
  </sheetViews>
  <sheetFormatPr defaultRowHeight="15"/>
  <sheetData>
    <row r="1" spans="1:2">
      <c r="A1" s="1" t="s">
        <v>228</v>
      </c>
    </row>
    <row r="2" spans="1:2">
      <c r="B2" t="s">
        <v>227</v>
      </c>
    </row>
    <row r="3" spans="1:2">
      <c r="B3">
        <v>403.1</v>
      </c>
    </row>
    <row r="4" spans="1:2">
      <c r="B4">
        <v>399.4</v>
      </c>
    </row>
    <row r="5" spans="1:2">
      <c r="B5">
        <v>408.1</v>
      </c>
    </row>
    <row r="6" spans="1:2">
      <c r="B6">
        <v>401.2</v>
      </c>
    </row>
    <row r="7" spans="1:2">
      <c r="B7">
        <v>400.5</v>
      </c>
    </row>
    <row r="8" spans="1:2">
      <c r="B8">
        <v>401.5</v>
      </c>
    </row>
    <row r="9" spans="1:2">
      <c r="B9">
        <v>359.7</v>
      </c>
    </row>
    <row r="10" spans="1:2">
      <c r="B10">
        <v>361.7</v>
      </c>
    </row>
    <row r="11" spans="1:2">
      <c r="B11">
        <v>320.8</v>
      </c>
    </row>
    <row r="12" spans="1:2">
      <c r="B12">
        <v>400</v>
      </c>
    </row>
    <row r="13" spans="1:2">
      <c r="B13">
        <v>400.5</v>
      </c>
    </row>
    <row r="14" spans="1:2">
      <c r="B14">
        <v>400.5</v>
      </c>
    </row>
    <row r="15" spans="1:2">
      <c r="B15">
        <v>399.5</v>
      </c>
    </row>
    <row r="16" spans="1:2">
      <c r="B16">
        <v>440.2</v>
      </c>
    </row>
    <row r="17" spans="2:2">
      <c r="B17">
        <v>400.5</v>
      </c>
    </row>
    <row r="18" spans="2:2">
      <c r="B18">
        <v>361.8</v>
      </c>
    </row>
    <row r="19" spans="2:2">
      <c r="B19">
        <v>402.5</v>
      </c>
    </row>
    <row r="20" spans="2:2">
      <c r="B20">
        <v>360.2</v>
      </c>
    </row>
    <row r="21" spans="2:2">
      <c r="B21">
        <v>360.5</v>
      </c>
    </row>
    <row r="22" spans="2:2">
      <c r="B22">
        <v>361</v>
      </c>
    </row>
    <row r="23" spans="2:2">
      <c r="B23">
        <v>399.7</v>
      </c>
    </row>
    <row r="24" spans="2:2">
      <c r="B24">
        <v>400</v>
      </c>
    </row>
    <row r="25" spans="2:2">
      <c r="B25">
        <v>438.4</v>
      </c>
    </row>
    <row r="26" spans="2:2">
      <c r="B26">
        <v>400.2</v>
      </c>
    </row>
    <row r="27" spans="2:2">
      <c r="B27">
        <v>400.7</v>
      </c>
    </row>
    <row r="28" spans="2:2">
      <c r="B28">
        <v>400.3</v>
      </c>
    </row>
    <row r="29" spans="2:2">
      <c r="B29">
        <v>400.2</v>
      </c>
    </row>
    <row r="30" spans="2:2">
      <c r="B30">
        <v>321</v>
      </c>
    </row>
    <row r="31" spans="2:2">
      <c r="B31">
        <v>400.7</v>
      </c>
    </row>
    <row r="32" spans="2:2">
      <c r="B32">
        <v>400.3</v>
      </c>
    </row>
    <row r="33" spans="1:2">
      <c r="B33">
        <v>361.6</v>
      </c>
    </row>
    <row r="34" spans="1:2">
      <c r="B34">
        <v>401.7</v>
      </c>
    </row>
    <row r="36" spans="1:2">
      <c r="A36" t="s">
        <v>165</v>
      </c>
      <c r="B36">
        <f>AVERAGE(B$3:B34)</f>
        <v>389.62500000000006</v>
      </c>
    </row>
    <row r="37" spans="1:2">
      <c r="A37" t="s">
        <v>166</v>
      </c>
      <c r="B37">
        <f>_xlfn.STDEV.S(B$3:B34)</f>
        <v>27.203415345349796</v>
      </c>
    </row>
    <row r="38" spans="1:2">
      <c r="A38" t="s">
        <v>217</v>
      </c>
      <c r="B38">
        <f>MIN(B$3:B34)</f>
        <v>320.8</v>
      </c>
    </row>
    <row r="39" spans="1:2">
      <c r="A39" t="s">
        <v>218</v>
      </c>
      <c r="B39">
        <f>MAX(B$3:B34)</f>
        <v>440.2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D3ED-6293-4FDC-B404-F61C0B6B7064}">
  <dimension ref="A1:B17"/>
  <sheetViews>
    <sheetView workbookViewId="0"/>
  </sheetViews>
  <sheetFormatPr defaultRowHeight="15"/>
  <sheetData>
    <row r="1" spans="1:2">
      <c r="A1" s="1" t="s">
        <v>229</v>
      </c>
    </row>
    <row r="2" spans="1:2">
      <c r="B2" t="s">
        <v>230</v>
      </c>
    </row>
    <row r="3" spans="1:2">
      <c r="B3">
        <v>1.07</v>
      </c>
    </row>
    <row r="4" spans="1:2">
      <c r="B4">
        <v>1.0669999999999999</v>
      </c>
    </row>
    <row r="5" spans="1:2">
      <c r="B5">
        <v>1.0640000000000001</v>
      </c>
    </row>
    <row r="6" spans="1:2">
      <c r="B6">
        <v>1.069</v>
      </c>
    </row>
    <row r="7" spans="1:2">
      <c r="B7">
        <v>1.0640000000000001</v>
      </c>
    </row>
    <row r="8" spans="1:2">
      <c r="B8">
        <v>1.07</v>
      </c>
    </row>
    <row r="9" spans="1:2">
      <c r="B9">
        <v>1.0660000000000001</v>
      </c>
    </row>
    <row r="10" spans="1:2">
      <c r="B10">
        <v>1.07</v>
      </c>
    </row>
    <row r="11" spans="1:2">
      <c r="B11">
        <v>1.07</v>
      </c>
    </row>
    <row r="12" spans="1:2">
      <c r="B12">
        <v>1.071</v>
      </c>
    </row>
    <row r="14" spans="1:2">
      <c r="A14" t="s">
        <v>165</v>
      </c>
      <c r="B14">
        <f>AVERAGE(B$3:B12)</f>
        <v>1.0680999999999998</v>
      </c>
    </row>
    <row r="15" spans="1:2">
      <c r="A15" t="s">
        <v>166</v>
      </c>
      <c r="B15">
        <f>_xlfn.STDEV.S(B$3:B12)</f>
        <v>2.6436506745197703E-3</v>
      </c>
    </row>
    <row r="16" spans="1:2">
      <c r="A16" t="s">
        <v>217</v>
      </c>
      <c r="B16">
        <f>MIN(B$3:B12)</f>
        <v>1.0640000000000001</v>
      </c>
    </row>
    <row r="17" spans="1:2">
      <c r="A17" t="s">
        <v>231</v>
      </c>
      <c r="B17">
        <f>MAX(B$3:B12)</f>
        <v>1.071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AB89-37AD-4FF3-9895-DD9A7396A900}">
  <dimension ref="A1:C10"/>
  <sheetViews>
    <sheetView tabSelected="1" workbookViewId="0">
      <selection activeCell="B7" sqref="B7"/>
    </sheetView>
  </sheetViews>
  <sheetFormatPr defaultRowHeight="15"/>
  <cols>
    <col min="1" max="1" width="15.5703125" customWidth="1"/>
    <col min="2" max="2" width="12.140625" customWidth="1"/>
  </cols>
  <sheetData>
    <row r="1" spans="1:3">
      <c r="A1" s="10" t="s">
        <v>74</v>
      </c>
    </row>
    <row r="2" spans="1:3">
      <c r="A2" t="s">
        <v>184</v>
      </c>
      <c r="B2">
        <v>9.9890000000000008</v>
      </c>
      <c r="C2" t="s">
        <v>185</v>
      </c>
    </row>
    <row r="4" spans="1:3">
      <c r="A4" t="s">
        <v>186</v>
      </c>
      <c r="B4">
        <f>1/B2</f>
        <v>0.10011012113324656</v>
      </c>
      <c r="C4" t="s">
        <v>96</v>
      </c>
    </row>
    <row r="5" spans="1:3">
      <c r="B5" s="11">
        <f>B4/0.001</f>
        <v>100.11012113324657</v>
      </c>
      <c r="C5" t="s">
        <v>42</v>
      </c>
    </row>
    <row r="7" spans="1:3">
      <c r="A7" t="s">
        <v>187</v>
      </c>
      <c r="B7">
        <v>2.4329999999999998</v>
      </c>
      <c r="C7" t="s">
        <v>50</v>
      </c>
    </row>
    <row r="8" spans="1:3">
      <c r="B8">
        <f>B7*0.000001</f>
        <v>2.4329999999999998E-6</v>
      </c>
      <c r="C8" t="s">
        <v>96</v>
      </c>
    </row>
    <row r="9" spans="1:3" ht="15.75" thickBot="1">
      <c r="B9" s="2"/>
    </row>
    <row r="10" spans="1:3">
      <c r="A10" t="s">
        <v>188</v>
      </c>
      <c r="B10" s="45">
        <f>B8/B4</f>
        <v>2.4303236999999999E-5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FECAEB8B0DBA429E1597CE73D44797" ma:contentTypeVersion="35" ma:contentTypeDescription="Create a new document." ma:contentTypeScope="" ma:versionID="21cd2941a12629b6fa1efae0679c858d">
  <xsd:schema xmlns:xsd="http://www.w3.org/2001/XMLSchema" xmlns:xs="http://www.w3.org/2001/XMLSchema" xmlns:p="http://schemas.microsoft.com/office/2006/metadata/properties" xmlns:ns2="4369faa9-f3f1-4716-a28b-21c6dda0c8c1" xmlns:ns3="444d0f87-f427-4b56-a3f1-cc2e80c55bbe" targetNamespace="http://schemas.microsoft.com/office/2006/metadata/properties" ma:root="true" ma:fieldsID="6c8348f12b11dda1aad4c4228915583c" ns2:_="" ns3:_="">
    <xsd:import namespace="4369faa9-f3f1-4716-a28b-21c6dda0c8c1"/>
    <xsd:import namespace="444d0f87-f427-4b56-a3f1-cc2e80c55bbe"/>
    <xsd:element name="properties">
      <xsd:complexType>
        <xsd:sequence>
          <xsd:element name="documentManagement">
            <xsd:complexType>
              <xsd:all>
                <xsd:element ref="ns2:Category"/>
                <xsd:element ref="ns3:Project_x0020_Manager" minOccurs="0"/>
                <xsd:element ref="ns3:Project_x0020_Number"/>
                <xsd:element ref="ns3:Product_x0020_Line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Thumbnail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DocTag" minOccurs="0"/>
                <xsd:element ref="ns2:DocTag2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9faa9-f3f1-4716-a28b-21c6dda0c8c1" elementFormDefault="qualified">
    <xsd:import namespace="http://schemas.microsoft.com/office/2006/documentManagement/types"/>
    <xsd:import namespace="http://schemas.microsoft.com/office/infopath/2007/PartnerControls"/>
    <xsd:element name="Category" ma:index="2" ma:displayName="Category" ma:default="*TBD*" ma:description="Project Document categories" ma:format="Dropdown" ma:indexed="true" ma:internalName="Category">
      <xsd:simpleType>
        <xsd:restriction base="dms:Choice">
          <xsd:enumeration value="Compliance"/>
          <xsd:enumeration value="Drawings"/>
          <xsd:enumeration value="Factory Instruction"/>
          <xsd:enumeration value="Factory Test"/>
          <xsd:enumeration value="Financial"/>
          <xsd:enumeration value="Hardware"/>
          <xsd:enumeration value="Manufacturing"/>
          <xsd:enumeration value="Marketing"/>
          <xsd:enumeration value="Procurement"/>
          <xsd:enumeration value="Project Admin"/>
          <xsd:enumeration value="Quality"/>
          <xsd:enumeration value="Software"/>
          <xsd:enumeration value="Specification"/>
          <xsd:enumeration value="Test Procedure"/>
          <xsd:enumeration value="Test Report"/>
          <xsd:enumeration value="Training"/>
          <xsd:enumeration value="*TBD*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humbnail" ma:index="16" nillable="true" ma:displayName="Thumbnail" ma:format="Image" ma:internalName="Thumbnai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Tag2" ma:index="24" nillable="true" ma:displayName="DocTag2" ma:format="Dropdown" ma:internalName="DocTag2">
      <xsd:simpleType>
        <xsd:union memberTypes="dms:Text">
          <xsd:simpleType>
            <xsd:restriction base="dms:Choice">
              <xsd:enumeration value="**TBD**"/>
              <xsd:enumeration value="Testing Complete"/>
              <xsd:enumeration value="Test In Process"/>
              <xsd:enumeration value="Test Failed"/>
              <xsd:enumeration value="Qualification Test Plan"/>
            </xsd:restriction>
          </xsd:simpleType>
        </xsd:un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21e9adcc-25b4-4f82-bd42-0b47d5e7a5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d0f87-f427-4b56-a3f1-cc2e80c55bbe" elementFormDefault="qualified">
    <xsd:import namespace="http://schemas.microsoft.com/office/2006/documentManagement/types"/>
    <xsd:import namespace="http://schemas.microsoft.com/office/infopath/2007/PartnerControls"/>
    <xsd:element name="Project_x0020_Manager" ma:index="3" nillable="true" ma:displayName="Project Manager" ma:list="UserInfo" ma:SharePointGroup="0" ma:internalName="Project_x0020_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20_Number" ma:index="4" ma:displayName="Project Number" ma:format="Dropdown" ma:indexed="true" ma:internalName="Project_x0020_Number">
      <xsd:simpleType>
        <xsd:restriction base="dms:Text">
          <xsd:maxLength value="255"/>
        </xsd:restriction>
      </xsd:simpleType>
    </xsd:element>
    <xsd:element name="Product_x0020_Line" ma:index="5" ma:displayName="Product Line" ma:format="Dropdown" ma:internalName="Product_x0020_Line0">
      <xsd:simpleType>
        <xsd:restriction base="dms:Choice">
          <xsd:enumeration value="AquaSmart"/>
          <xsd:enumeration value="Burners"/>
          <xsd:enumeration value="Gas Controls"/>
          <xsd:enumeration value="Igniters"/>
          <xsd:enumeration value="Oil Controls"/>
          <xsd:enumeration value="Software as a Service"/>
          <xsd:enumeration value="Electrodes"/>
          <xsd:enumeration value="Filters"/>
          <xsd:enumeration value="Tank Accessories"/>
          <xsd:enumeration value="Tigerloop &amp; Flex Hoses"/>
          <xsd:enumeration value="Packaging"/>
          <xsd:enumeration value="Process / Support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DocTag" ma:index="23" nillable="true" ma:displayName="DocTag" ma:description="Create additional custom tags for this document" ma:format="Dropdown" ma:indexed="true" ma:internalName="DocTag">
      <xsd:simpleType>
        <xsd:union memberTypes="dms:Text">
          <xsd:simpleType>
            <xsd:restriction base="dms:Choice">
              <xsd:enumeration value="**TBD**"/>
              <xsd:enumeration value="Testing Complete"/>
              <xsd:enumeration value="Test In Process"/>
              <xsd:enumeration value="Test Failed"/>
              <xsd:enumeration value="Qualification Test Plan"/>
            </xsd:restriction>
          </xsd:simpleType>
        </xsd:union>
      </xsd:simpleType>
    </xsd:element>
    <xsd:element name="TaxCatchAll" ma:index="30" nillable="true" ma:displayName="Taxonomy Catch All Column" ma:hidden="true" ma:list="{4dd8b839-717c-4aea-a9ba-4c2bcd108f06}" ma:internalName="TaxCatchAll" ma:showField="CatchAllData" ma:web="444d0f87-f427-4b56-a3f1-cc2e80c55b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duct_x0020_Line xmlns="444d0f87-f427-4b56-a3f1-cc2e80c55bbe">Gas Controls</Product_x0020_Line>
    <Thumbnail xmlns="4369faa9-f3f1-4716-a28b-21c6dda0c8c1">
      <Url xsi:nil="true"/>
      <Description xsi:nil="true"/>
    </Thumbnail>
    <DocTag xmlns="444d0f87-f427-4b56-a3f1-cc2e80c55bbe" xsi:nil="true"/>
    <Category xmlns="4369faa9-f3f1-4716-a28b-21c6dda0c8c1">Test Report</Category>
    <DocTag2 xmlns="4369faa9-f3f1-4716-a28b-21c6dda0c8c1" xsi:nil="true"/>
    <TaxCatchAll xmlns="444d0f87-f427-4b56-a3f1-cc2e80c55bbe" xsi:nil="true"/>
    <Project_x0020_Manager xmlns="444d0f87-f427-4b56-a3f1-cc2e80c55bbe">
      <UserInfo>
        <DisplayName/>
        <AccountId xsi:nil="true"/>
        <AccountType/>
      </UserInfo>
    </Project_x0020_Manager>
    <Project_x0020_Number xmlns="444d0f87-f427-4b56-a3f1-cc2e80c55bbe">5113</Project_x0020_Number>
    <lcf76f155ced4ddcb4097134ff3c332f xmlns="4369faa9-f3f1-4716-a28b-21c6dda0c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AB0E6-C80B-4069-88E1-F38C0D6B9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69faa9-f3f1-4716-a28b-21c6dda0c8c1"/>
    <ds:schemaRef ds:uri="444d0f87-f427-4b56-a3f1-cc2e80c55b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EF28A8-F0E4-4025-9EED-A73437BA7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C5872-E0A5-42DE-9D7D-0C300E80C09E}">
  <ds:schemaRefs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44d0f87-f427-4b56-a3f1-cc2e80c55bbe"/>
    <ds:schemaRef ds:uri="4369faa9-f3f1-4716-a28b-21c6dda0c8c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FinalChart</vt:lpstr>
      <vt:lpstr>DraftChart</vt:lpstr>
      <vt:lpstr>Power Loss-Flash Writes</vt:lpstr>
      <vt:lpstr>Read WhoAmI</vt:lpstr>
      <vt:lpstr>I2C interrupt</vt:lpstr>
      <vt:lpstr>I2C overall Duty Cycle</vt:lpstr>
      <vt:lpstr>Write Configuration</vt:lpstr>
      <vt:lpstr>Power loss stanby</vt:lpstr>
      <vt:lpstr>TIM17 Interrupt</vt:lpstr>
      <vt:lpstr>TIM1 Interrupt</vt:lpstr>
      <vt:lpstr>Systick Interrupt</vt:lpstr>
      <vt:lpstr>ADC Calibration</vt:lpstr>
      <vt:lpstr>ADC1, Whole Interrupt</vt:lpstr>
      <vt:lpstr>feild config write form IoT</vt:lpstr>
      <vt:lpstr>flash page erasure</vt:lpstr>
      <vt:lpstr>FlashCheck</vt:lpstr>
      <vt:lpstr>USART2 Interrupt</vt:lpstr>
      <vt:lpstr>Bootloader WDT Init to Bootload</vt:lpstr>
      <vt:lpstr>Time in Reset</vt:lpstr>
      <vt:lpstr>Safety Relay &amp; Motor Timings</vt:lpstr>
      <vt:lpstr>Bootloader Main Loop</vt:lpstr>
      <vt:lpstr>MotorChangeCap</vt:lpstr>
      <vt:lpstr>PowerOnToStandby</vt:lpstr>
      <vt:lpstr>TIM16 Interrupt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Swartz, Luke</dc:creator>
  <cp:keywords/>
  <dc:description/>
  <cp:lastModifiedBy>Swartz, Luke</cp:lastModifiedBy>
  <cp:revision/>
  <dcterms:created xsi:type="dcterms:W3CDTF">2026-06-04T12:20:40Z</dcterms:created>
  <dcterms:modified xsi:type="dcterms:W3CDTF">2026-06-18T17:14:07Z</dcterms:modified>
  <cp:category>Test Report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0x010100A8FECAEB8B0DBA429E1597CE73D44797</vt:lpwstr>
  </property>
  <property fmtid="{D5CDD505-2E9C-101B-9397-08002B2CF9AE}" pid="3" name="MediaServiceImageTags">
    <vt:lpwstr/>
  </property>
</Properties>
</file>